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Runbook" sheetId="2" state="visible" r:id="rId2"/>
    <sheet name="Results" sheetId="3" state="visible" r:id="rId3"/>
    <sheet name="Slugs"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4"/>
    </font>
    <font>
      <name val="Arial"/>
      <b val="1"/>
      <sz val="10"/>
    </font>
    <font>
      <name val="Arial"/>
      <sz val="10"/>
    </font>
    <font>
      <name val="Arial"/>
      <i val="1"/>
      <color rgb="00595959"/>
      <sz val="9"/>
    </font>
    <font>
      <name val="Arial"/>
      <color rgb="000000FF"/>
      <sz val="10"/>
    </font>
    <font>
      <name val="Arial"/>
      <b val="1"/>
      <color rgb="00FFFFFF"/>
      <sz val="10"/>
    </font>
    <font>
      <name val="Consolas"/>
      <sz val="10"/>
    </font>
  </fonts>
  <fills count="6">
    <fill>
      <patternFill/>
    </fill>
    <fill>
      <patternFill patternType="gray125"/>
    </fill>
    <fill>
      <patternFill patternType="solid">
        <fgColor rgb="00FFF9DB"/>
      </patternFill>
    </fill>
    <fill>
      <patternFill patternType="solid">
        <fgColor rgb="001F3A5F"/>
      </patternFill>
    </fill>
    <fill>
      <patternFill patternType="solid">
        <fgColor rgb="00D9E2F3"/>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2" fillId="0" borderId="0" pivotButton="0" quotePrefix="0" xfId="0"/>
    <xf numFmtId="0" fontId="5" fillId="2" borderId="1" pivotButton="0" quotePrefix="0" xfId="0"/>
    <xf numFmtId="0" fontId="3" fillId="0" borderId="1" pivotButton="0" quotePrefix="0" xfId="0"/>
    <xf numFmtId="0" fontId="6" fillId="3" borderId="1" applyAlignment="1" pivotButton="0" quotePrefix="0" xfId="0">
      <alignment horizontal="center" vertical="center" wrapText="1"/>
    </xf>
    <xf numFmtId="0" fontId="2" fillId="4" borderId="0" pivotButton="0" quotePrefix="0" xfId="0"/>
    <xf numFmtId="0" fontId="0" fillId="4" borderId="0" pivotButton="0" quotePrefix="0" xfId="0"/>
    <xf numFmtId="0" fontId="2" fillId="0" borderId="1" applyAlignment="1" pivotButton="0" quotePrefix="0" xfId="0">
      <alignment vertical="top" wrapText="1"/>
    </xf>
    <xf numFmtId="0" fontId="3" fillId="0" borderId="1" applyAlignment="1" pivotButton="0" quotePrefix="0" xfId="0">
      <alignment vertical="top" wrapText="1"/>
    </xf>
    <xf numFmtId="0" fontId="7" fillId="5" borderId="1" applyAlignment="1" pivotButton="0" quotePrefix="0" xfId="0">
      <alignment vertical="top" wrapText="1"/>
    </xf>
    <xf numFmtId="0" fontId="4" fillId="0" borderId="1" applyAlignment="1" pivotButton="0" quotePrefix="0" xfId="0">
      <alignment vertical="top" wrapText="1"/>
    </xf>
    <xf numFmtId="0" fontId="5" fillId="2" borderId="1" applyAlignment="1" pivotButton="0" quotePrefix="0" xfId="0">
      <alignment horizontal="center" vertical="top"/>
    </xf>
    <xf numFmtId="0" fontId="5" fillId="2" borderId="1" applyAlignment="1" pivotButton="0" quotePrefix="0" xfId="0">
      <alignment vertical="top" wrapText="1"/>
    </xf>
    <xf numFmtId="0" fontId="3" fillId="0" borderId="0" pivotButton="0" quotePrefix="0" xfId="0"/>
  </cellXfs>
  <cellStyles count="1">
    <cellStyle name="Normal" xfId="0" builtinId="0" hidden="0"/>
  </cellStyles>
  <dxfs count="3">
    <dxf>
      <fill>
        <patternFill patternType="solid">
          <bgColor rgb="00C6EFCE"/>
        </patternFill>
      </fill>
    </dxf>
    <dxf>
      <fill>
        <patternFill patternType="solid">
          <bgColor rgb="00FFEB9C"/>
        </patternFill>
      </fill>
    </dxf>
    <dxf>
      <fill>
        <patternFill patternType="solid">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40" customWidth="1" min="1" max="1"/>
  </cols>
  <sheetData>
    <row r="1">
      <c r="A1" s="1" t="inlineStr">
        <is>
          <t>WordCamp Joburg: MCP plugin manual test sheet</t>
        </is>
      </c>
    </row>
    <row r="3">
      <c r="A3" s="2" t="inlineStr">
        <is>
          <t>What this is</t>
        </is>
      </c>
    </row>
    <row r="4">
      <c r="A4" s="3" t="inlineStr">
        <is>
          <t>The steps that are hard to automate (connecting Claude Desktop, judging settings screens, running prompts, checking safety behaviour), as copy/paste commands.</t>
        </is>
      </c>
    </row>
    <row r="5">
      <c r="A5" s="3" t="inlineStr">
        <is>
          <t>Everything automatable (site creation, plugin install, WordPress.org metadata scoring) stays in setup_test_sites.sh and the scoring sheet.</t>
        </is>
      </c>
    </row>
    <row r="6">
      <c r="A6" s="3" t="inlineStr"/>
    </row>
    <row r="7">
      <c r="A7" s="2" t="inlineStr">
        <is>
          <t>How to use</t>
        </is>
      </c>
    </row>
    <row r="8">
      <c r="A8" s="3" t="inlineStr">
        <is>
          <t>1. On Runbook, pick the plugin slug in B4 and fill the yellow inputs as you learn them (site URL, endpoint, passwords). Every grey command cell updates automatically.</t>
        </is>
      </c>
    </row>
    <row r="9">
      <c r="A9" s="3" t="inlineStr">
        <is>
          <t>2. Work down the Runbook in order. Click a grey command cell, copy it (Ctrl+C), paste into a terminal, run it from the repo folder. Prompts for Claude Desktop are in the instructions column.</t>
        </is>
      </c>
    </row>
    <row r="10">
      <c r="A10" s="3" t="inlineStr">
        <is>
          <t>3. Record the outcome for that plugin on the Results sheet. T1-T8 use Pass / Partial / Fail; copy them into the Tasks sheet of mcp-plugin-scoring.xlsx.</t>
        </is>
      </c>
    </row>
    <row r="11">
      <c r="A11" s="3" t="inlineStr">
        <is>
          <t>4. Run section E before moving to the next plugin.</t>
        </is>
      </c>
    </row>
    <row r="12">
      <c r="A12" s="3" t="inlineStr"/>
    </row>
    <row r="13">
      <c r="A13" s="2" t="inlineStr">
        <is>
          <t>Assumptions to check</t>
        </is>
      </c>
    </row>
    <row r="14">
      <c r="A14" s="3" t="inlineStr">
        <is>
          <t>Studio sites live in $HOME/Studio/mcp-tests/&lt;slug&gt; ($HOME is used so it expands inside double quotes) (MCP_TEST_ROOT in setup_test_sites.sh). Change B5 if yours differ.</t>
        </is>
      </c>
    </row>
    <row r="15">
      <c r="A15" s="3" t="inlineStr">
        <is>
          <t>Commands use the 'studio wp' wrapper that setup_test_sites.sh uses, and assume you run them from this repo folder (for ./setup_test_sites.sh).</t>
        </is>
      </c>
    </row>
    <row r="16">
      <c r="A16" s="3" t="inlineStr">
        <is>
          <t>Command cells are formulas. Copying one from Excel or Google Sheets copies its text. If a cell shows a formula instead, copy from the formula bar.</t>
        </is>
      </c>
    </row>
    <row r="17">
      <c r="A17" s="3" t="inlineStr">
        <is>
          <t>The Claude Desktop config uses mcp-remote (npx, so Node.js is required) with the Authorization header passed via env, which works around the space-escaping bug on Windows. It only suits plugins that accept Basic auth. Plugins with OAuth or their own API key need the config from their settings page.</t>
        </is>
      </c>
    </row>
    <row r="18">
      <c r="A18" s="3" t="inlineStr">
        <is>
          <t>The admin page URL in A4 is a guess based on the slug. Use the plugin's own menu entry when it is wrong.</t>
        </is>
      </c>
    </row>
    <row r="19">
      <c r="A19" s="3" t="inlineStr">
        <is>
          <t>Prompts mention the same image URL for T2/T4; plugins that cannot fetch remote URLs score lower on T4, not a Fail by default. Use your judgement and note it.</t>
        </is>
      </c>
    </row>
    <row r="20">
      <c r="A20" s="3" t="inlineStr"/>
    </row>
    <row r="21">
      <c r="A21" s="2" t="inlineStr">
        <is>
          <t>Colour key</t>
        </is>
      </c>
    </row>
    <row r="22">
      <c r="A22" s="3" t="inlineStr">
        <is>
          <t>Blue text on yellow = input. Grey monospace = command to copy. Pass / Partial / Fail are colour-coded on Results.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4"/>
  <sheetViews>
    <sheetView workbookViewId="0">
      <pane ySplit="16" topLeftCell="A17" activePane="bottomLeft" state="frozen"/>
      <selection pane="bottomLeft" activeCell="A1" sqref="A1"/>
    </sheetView>
  </sheetViews>
  <sheetFormatPr baseColWidth="8" defaultRowHeight="15"/>
  <cols>
    <col width="14" customWidth="1" min="1" max="1"/>
    <col width="30" customWidth="1" min="2" max="2"/>
    <col width="34" customWidth="1" min="3" max="3"/>
    <col width="62" customWidth="1" min="4" max="4"/>
    <col width="80" customWidth="1" min="5" max="5"/>
    <col width="52" customWidth="1" min="6" max="6"/>
  </cols>
  <sheetData>
    <row r="1">
      <c r="A1" s="1" t="inlineStr">
        <is>
          <t>Runbook: one plugin at a time</t>
        </is>
      </c>
    </row>
    <row r="2">
      <c r="A2" s="4" t="inlineStr">
        <is>
          <t>Pick a slug, fill the yellow cells as you go, then copy the grey commands.</t>
        </is>
      </c>
    </row>
    <row r="4">
      <c r="A4" s="5" t="inlineStr">
        <is>
          <t>Plugin slug</t>
        </is>
      </c>
      <c r="B4" s="6" t="inlineStr">
        <is>
          <t>ai-engine</t>
        </is>
      </c>
      <c r="C4" s="4" t="inlineStr">
        <is>
          <t>Dropdown. Everything below follows this.</t>
        </is>
      </c>
    </row>
    <row r="5">
      <c r="A5" s="5" t="inlineStr">
        <is>
          <t>Sites root folder</t>
        </is>
      </c>
      <c r="B5" s="6" t="inlineStr">
        <is>
          <t>$HOME/Studio/mcp-tests</t>
        </is>
      </c>
      <c r="C5" s="4" t="inlineStr">
        <is>
          <t>Matches MCP_TEST_ROOT in setup_test_sites.sh.</t>
        </is>
      </c>
    </row>
    <row r="6">
      <c r="A6" s="5" t="inlineStr">
        <is>
          <t>Site path</t>
        </is>
      </c>
      <c r="B6" s="7">
        <f>$B$5&amp;"/"&amp;$B$4</f>
        <v/>
      </c>
      <c r="C6" s="4" t="inlineStr">
        <is>
          <t>Formula. Quoted when used in commands.</t>
        </is>
      </c>
    </row>
    <row r="7">
      <c r="A7" s="5" t="inlineStr">
        <is>
          <t>Site URL</t>
        </is>
      </c>
      <c r="B7" s="6" t="inlineStr">
        <is>
          <t>http://localhost:8881</t>
        </is>
      </c>
      <c r="C7" s="4" t="inlineStr">
        <is>
          <t>Printed by step A1. No trailing slash.</t>
        </is>
      </c>
    </row>
    <row r="8">
      <c r="A8" s="5" t="inlineStr">
        <is>
          <t>MCP endpoint URL</t>
        </is>
      </c>
      <c r="B8" s="6" t="inlineStr"/>
      <c r="C8" s="4" t="inlineStr">
        <is>
          <t>From step A2 or the plugin's settings page, e.g. http://localhost:8881/wp-json/&lt;namespace&gt;/mcp</t>
        </is>
      </c>
    </row>
    <row r="9">
      <c r="A9" s="5" t="inlineStr">
        <is>
          <t>Admin user</t>
        </is>
      </c>
      <c r="B9" s="6" t="inlineStr">
        <is>
          <t>admin</t>
        </is>
      </c>
      <c r="C9" s="4" t="inlineStr">
        <is>
          <t>Created by setup_test_sites.sh.</t>
        </is>
      </c>
    </row>
    <row r="10">
      <c r="A10" s="5" t="inlineStr">
        <is>
          <t>Application password</t>
        </is>
      </c>
      <c r="B10" s="6" t="inlineStr"/>
      <c r="C10" s="4" t="inlineStr">
        <is>
          <t>Output of step B1 (local throwaway site only).</t>
        </is>
      </c>
    </row>
    <row r="11">
      <c r="A11" s="5" t="inlineStr">
        <is>
          <t>Base64 of user:password</t>
        </is>
      </c>
      <c r="B11" s="6" t="inlineStr"/>
      <c r="C11" s="4" t="inlineStr">
        <is>
          <t>Output of step B2.</t>
        </is>
      </c>
    </row>
    <row r="12">
      <c r="A12" s="5" t="inlineStr">
        <is>
          <t>Test post ID</t>
        </is>
      </c>
      <c r="B12" s="6" t="inlineStr"/>
      <c r="C12" s="4" t="inlineStr">
        <is>
          <t>Pick from the T3 command output.</t>
        </is>
      </c>
    </row>
    <row r="13">
      <c r="A13" s="5" t="inlineStr">
        <is>
          <t>Low-privilege user</t>
        </is>
      </c>
      <c r="B13" s="6" t="inlineStr">
        <is>
          <t>mcp-subscriber</t>
        </is>
      </c>
      <c r="C13" s="4" t="inlineStr">
        <is>
          <t>Used by T8.</t>
        </is>
      </c>
    </row>
    <row r="14">
      <c r="A14" s="5" t="inlineStr">
        <is>
          <t>Low-privilege app password</t>
        </is>
      </c>
      <c r="B14" s="6" t="inlineStr"/>
      <c r="C14" s="4" t="inlineStr">
        <is>
          <t>Output of the T8 command.</t>
        </is>
      </c>
    </row>
    <row r="16">
      <c r="A16" s="8" t="inlineStr">
        <is>
          <t>ID</t>
        </is>
      </c>
      <c r="B16" s="8" t="inlineStr">
        <is>
          <t>Area</t>
        </is>
      </c>
      <c r="C16" s="8" t="inlineStr">
        <is>
          <t>Step</t>
        </is>
      </c>
      <c r="D16" s="8" t="inlineStr">
        <is>
          <t>What to do</t>
        </is>
      </c>
      <c r="E16" s="8" t="inlineStr">
        <is>
          <t>Copy / paste</t>
        </is>
      </c>
      <c r="F16" s="8" t="inlineStr">
        <is>
          <t>What to record</t>
        </is>
      </c>
    </row>
    <row r="17">
      <c r="A17" s="9" t="inlineStr">
        <is>
          <t>A. Before you connect anything (Setup &amp; Security)</t>
        </is>
      </c>
      <c r="B17" s="10" t="n"/>
      <c r="C17" s="10" t="n"/>
      <c r="D17" s="10" t="n"/>
      <c r="E17" s="10" t="n"/>
      <c r="F17" s="10" t="n"/>
    </row>
    <row r="18">
      <c r="A18" s="11" t="inlineStr">
        <is>
          <t>A1</t>
        </is>
      </c>
      <c r="B18" s="12" t="inlineStr">
        <is>
          <t>Setup</t>
        </is>
      </c>
      <c r="C18" s="12" t="inlineStr">
        <is>
          <t>Start the site</t>
        </is>
      </c>
      <c r="D18" s="12" t="inlineStr">
        <is>
          <t>Starts the Studio site for this plugin. Note the URL it prints and paste it into B7. Start your stopwatch for 'time to first tool call' now.</t>
        </is>
      </c>
      <c r="E18" s="13">
        <f>"./setup_test_sites.sh start "&amp;$B$4</f>
        <v/>
      </c>
      <c r="F18" s="12" t="inlineStr">
        <is>
          <t>Time started.</t>
        </is>
      </c>
    </row>
    <row r="19">
      <c r="A19" s="11" t="inlineStr">
        <is>
          <t>A2</t>
        </is>
      </c>
      <c r="B19" s="12" t="inlineStr">
        <is>
          <t>Security</t>
        </is>
      </c>
      <c r="C19" s="12" t="inlineStr">
        <is>
          <t>Probe for an open endpoint (before any config)</t>
        </is>
      </c>
      <c r="D19" s="12" t="inlineStr">
        <is>
          <t>Do this BEFORE touching the plugin's settings, so you see the safe-defaults state. First list REST routes that look like MCP, then paste the endpoint into B8.</t>
        </is>
      </c>
      <c r="E19" s="13">
        <f>"studio wp --path """&amp;$B$6&amp;""" eval 'foreach (array_keys(rest_get_server()-&gt;get_routes()) as $r) { if (preg_match(""/mcp/i"", $r)) echo $r . PHP_EOL; }'"</f>
        <v/>
      </c>
      <c r="F19" s="12" t="inlineStr">
        <is>
          <t>MCP route(s) found. If none, note where the plugin says the endpoint lives (settings page, readme).</t>
        </is>
      </c>
    </row>
    <row r="20">
      <c r="A20" s="11" t="inlineStr">
        <is>
          <t>A3</t>
        </is>
      </c>
      <c r="B20" s="12" t="inlineStr">
        <is>
          <t>Security</t>
        </is>
      </c>
      <c r="C20" s="12" t="inlineStr">
        <is>
          <t>Unauthenticated tools/list</t>
        </is>
      </c>
      <c r="D20" s="12" t="inlineStr">
        <is>
          <t>Call the endpoint with NO credentials. A JSON list of tools means the plugin exposes everything by default: set 'Security hard fail?' to Y on the Scores sheet. A 401/403 is the good outcome. If the endpoint is missing or says MCP is disabled, pick 'Disabled' (good safe default) and run this step again after enabling MCP in A4, because the real hard-fail check is whether the ENABLED endpoint answers without credentials.</t>
        </is>
      </c>
      <c r="E20" s="13">
        <f>"curl -si -X POST '"&amp;$B$8&amp;"' -H 'Content-Type: application/json' -H 'Accept: application/json, text/event-stream' -d '{""jsonrpc"":""2.0"",""id"":1,""method"":""tools/list""}' | head -40"</f>
        <v/>
      </c>
      <c r="F20" s="12" t="inlineStr">
        <is>
          <t>HTTP status and whether any tools were returned. Feeds: Safe defaults, Auth method.</t>
        </is>
      </c>
    </row>
    <row r="21">
      <c r="A21" s="11" t="inlineStr">
        <is>
          <t>A4</t>
        </is>
      </c>
      <c r="B21" s="12" t="inlineStr">
        <is>
          <t>Setup</t>
        </is>
      </c>
      <c r="C21" s="12" t="inlineStr">
        <is>
          <t>Find the settings and connection UI</t>
        </is>
      </c>
      <c r="D21" s="12" t="inlineStr">
        <is>
          <t>Open the plugin's admin page. Does it show a ready-to-copy Claude Desktop config or connector URL? Take a screenshot of the connection instructions and of every security-related setting (read-only, per-tool toggles, roles, confirmations, logging).</t>
        </is>
      </c>
      <c r="E21" s="13">
        <f>"U='"&amp;$B$7&amp;"/wp-admin/admin.php?page="&amp;$B$4&amp;"'; open ""$U"" 2&gt;/dev/null || xdg-open ""$U"""</f>
        <v/>
      </c>
      <c r="F21" s="12" t="inlineStr">
        <is>
          <t>Feeds: In-plugin connection guide, Permission scoping, Read-only mode, Audit log. If the guessed page URL is wrong, use the plugin's menu entry.</t>
        </is>
      </c>
    </row>
    <row r="22">
      <c r="A22" s="11" t="inlineStr">
        <is>
          <t>A5</t>
        </is>
      </c>
      <c r="B22" s="12" t="inlineStr">
        <is>
          <t>Security</t>
        </is>
      </c>
      <c r="C22" s="12" t="inlineStr">
        <is>
          <t>Dump the plugin's options</t>
        </is>
      </c>
      <c r="D22" s="12" t="inlineStr">
        <is>
          <t>Shows stored settings, which often reveals defaults (enabled flags, API keys, tool allow-lists) the UI hides.</t>
        </is>
      </c>
      <c r="E22" s="13">
        <f>"studio wp --path """&amp;$B$6&amp;""" option list --search='*"&amp;$B$4&amp;"*' --format=table; studio wp --path """&amp;$B$6&amp;""" option list --search='*mcp*' --format=table"</f>
        <v/>
      </c>
      <c r="F22" s="12" t="inlineStr">
        <is>
          <t>Anything notable: keys stored in plain text, everything enabled by default, etc.</t>
        </is>
      </c>
    </row>
    <row r="23">
      <c r="A23" s="9" t="inlineStr">
        <is>
          <t>B. Credentials and Claude Desktop connection (Setup)</t>
        </is>
      </c>
      <c r="B23" s="10" t="n"/>
      <c r="C23" s="10" t="n"/>
      <c r="D23" s="10" t="n"/>
      <c r="E23" s="10" t="n"/>
      <c r="F23" s="10" t="n"/>
    </row>
    <row r="24">
      <c r="A24" s="11" t="inlineStr">
        <is>
          <t>B1</t>
        </is>
      </c>
      <c r="B24" s="12" t="inlineStr">
        <is>
          <t>Setup</t>
        </is>
      </c>
      <c r="C24" s="12" t="inlineStr">
        <is>
          <t>Create an application password</t>
        </is>
      </c>
      <c r="D24" s="12" t="inlineStr">
        <is>
          <t>Many plugins accept a WordPress application password. If the plugin uses its own API key or OAuth instead, follow its settings page and note that in Results. Paste the password it prints into B10.</t>
        </is>
      </c>
      <c r="E24" s="13">
        <f>"studio wp --path """&amp;$B$6&amp;""" user application-password create "&amp;$B$9&amp;" mcp-test --porcelain"</f>
        <v/>
      </c>
      <c r="F24" s="12" t="inlineStr">
        <is>
          <t>Which auth method the plugin actually uses (feeds: Auth method).</t>
        </is>
      </c>
    </row>
    <row r="25">
      <c r="A25" s="11" t="inlineStr">
        <is>
          <t>B2</t>
        </is>
      </c>
      <c r="B25" s="12" t="inlineStr">
        <is>
          <t>Setup</t>
        </is>
      </c>
      <c r="C25" s="12" t="inlineStr">
        <is>
          <t>Base64 for the Authorization header</t>
        </is>
      </c>
      <c r="D25" s="12" t="inlineStr">
        <is>
          <t>Run the command, paste the output into B11. Only needed for plugins that accept Basic auth.</t>
        </is>
      </c>
      <c r="E25" s="13">
        <f>"printf '%s' '"&amp;$B$9&amp;":"&amp;$B$10&amp;"' | base64 -w0"</f>
        <v/>
      </c>
      <c r="F25" s="12" t="inlineStr">
        <is>
          <t>n/a</t>
        </is>
      </c>
    </row>
    <row r="26">
      <c r="A26" s="11" t="inlineStr">
        <is>
          <t>B3</t>
        </is>
      </c>
      <c r="B26" s="12" t="inlineStr">
        <is>
          <t>Setup</t>
        </is>
      </c>
      <c r="C26" s="12" t="inlineStr">
        <is>
          <t>Claude Desktop config (stdio via mcp-remote)</t>
        </is>
      </c>
      <c r="D26" s="12" t="inlineStr">
        <is>
          <t>Paste into claude_desktop_config.json (Settings &gt; Developer &gt; Edit Config), merge into mcpServers, then fully quit and reopen Claude Desktop. Studio sites are http://localhost, which mcp-remote accepts. If the plugin supports remote connectors/OAuth directly, try Settings &gt; Connectors &gt; Add custom connector first and note whether it worked without a terminal.</t>
        </is>
      </c>
      <c r="E26" s="13">
        <f>"{""mcpServers"":{"""&amp;$B$4&amp;""":{""command"":""npx"",""args"":[""-y"",""mcp-remote"","""&amp;$B$8&amp;""",""--header"",""Authorization:${AUTH_HEADER}""],""env"":{""AUTH_HEADER"":""Basic "&amp;$B$11&amp;"""}}}}"</f>
        <v/>
      </c>
      <c r="F26" s="12" t="inlineStr">
        <is>
          <t>Stop the stopwatch at the first successful tool call. Record minutes, steps needed, and any error messages (feeds: Time to first tool call, Steps, Works without terminal, Error messages).</t>
        </is>
      </c>
    </row>
    <row r="27">
      <c r="A27" s="11" t="inlineStr">
        <is>
          <t>B4</t>
        </is>
      </c>
      <c r="B27" s="12" t="inlineStr">
        <is>
          <t>Setup</t>
        </is>
      </c>
      <c r="C27" s="12" t="inlineStr">
        <is>
          <t>Deliberately break the connection</t>
        </is>
      </c>
      <c r="D27" s="12" t="inlineStr">
        <is>
          <t>Change one character of the password (or stop the site) and retry a prompt in Claude Desktop. Is the error understandable?</t>
        </is>
      </c>
      <c r="E27" s="14" t="inlineStr">
        <is>
          <t>(no command: done in the UI)</t>
        </is>
      </c>
      <c r="F27" s="12" t="inlineStr">
        <is>
          <t>Quote the error text. Feeds: Error messages.</t>
        </is>
      </c>
    </row>
    <row r="28">
      <c r="A28" s="9" t="inlineStr">
        <is>
          <t>C. Standard tasks: paste the prompt into Claude Desktop, then verify with the command (Capabilities)</t>
        </is>
      </c>
      <c r="B28" s="10" t="n"/>
      <c r="C28" s="10" t="n"/>
      <c r="D28" s="10" t="n"/>
      <c r="E28" s="10" t="n"/>
      <c r="F28" s="10" t="n"/>
    </row>
    <row r="29">
      <c r="A29" s="11" t="inlineStr">
        <is>
          <t>T1</t>
        </is>
      </c>
      <c r="B29" s="12" t="inlineStr">
        <is>
          <t>Task</t>
        </is>
      </c>
      <c r="C29" s="12" t="inlineStr">
        <is>
          <t>List the 5 most recent posts</t>
        </is>
      </c>
      <c r="D29" s="12" t="inlineStr">
        <is>
          <t>Prompt: "List my 5 most recent posts with their titles and status."</t>
        </is>
      </c>
      <c r="E29" s="13">
        <f>"studio wp --path """&amp;$B$6&amp;""" post list --posts_per_page=5 --orderby=date --order=DESC --fields=ID,post_title,post_status"</f>
        <v/>
      </c>
      <c r="F29" s="12" t="inlineStr">
        <is>
          <t>Does Claude's answer match the command output? Pass / Partial / Fail.</t>
        </is>
      </c>
    </row>
    <row r="30">
      <c r="A30" s="11" t="inlineStr">
        <is>
          <t>T2</t>
        </is>
      </c>
      <c r="B30" s="12" t="inlineStr">
        <is>
          <t>Task</t>
        </is>
      </c>
      <c r="C30" s="12" t="inlineStr">
        <is>
          <t>Create a draft post with heading, paragraph and image</t>
        </is>
      </c>
      <c r="D30" s="12" t="inlineStr">
        <is>
          <t>Prompt: "Create a DRAFT post titled 'MCP Test Draft' with a heading, a short paragraph and this image: https://s.w.org/style/images/about/WordPress-logotype-wmark.png"</t>
        </is>
      </c>
      <c r="E30" s="13">
        <f>"studio wp --path """&amp;$B$6&amp;""" post list --post_status=draft --s='MCP Test Draft' --fields=ID,post_title,post_status; studio wp --path """&amp;$B$6&amp;""" post get $(studio wp --path """&amp;$B$6&amp;""" post list --post_status=draft --s='MCP Test Draft' --field=ID | head -1) --field=post_content"</f>
        <v/>
      </c>
      <c r="F30" s="12" t="inlineStr">
        <is>
          <t>Is it a draft (not published)? Is the content valid block markup (&lt;!-- wp:heading --&gt;...) or raw HTML? Is the image present? Open the post in the editor: any 'Attempt recovery' / invalid-block warnings?</t>
        </is>
      </c>
    </row>
    <row r="31">
      <c r="A31" s="11" t="inlineStr">
        <is>
          <t>T3</t>
        </is>
      </c>
      <c r="B31" s="12" t="inlineStr">
        <is>
          <t>Task</t>
        </is>
      </c>
      <c r="C31" s="12" t="inlineStr">
        <is>
          <t>Edit an existing post's title and content</t>
        </is>
      </c>
      <c r="D31" s="12" t="inlineStr">
        <is>
          <t>Pick an ID from the first command and paste it into B12. Prompt: "Change the title of post {postid} to 'Edited by MCP' and add a closing sentence to the content."</t>
        </is>
      </c>
      <c r="E31" s="13">
        <f>"studio wp --path """&amp;$B$6&amp;""" post list --post_status=publish --posts_per_page=3 --fields=ID,post_title; studio wp --path """&amp;$B$6&amp;""" post get "&amp;$B$12&amp;" --fields=ID,post_title,post_modified"</f>
        <v/>
      </c>
      <c r="F31" s="12" t="inlineStr">
        <is>
          <t>Title changed? Original content preserved? Pass / Partial / Fail.</t>
        </is>
      </c>
    </row>
    <row r="32">
      <c r="A32" s="11" t="inlineStr">
        <is>
          <t>T4</t>
        </is>
      </c>
      <c r="B32" s="12" t="inlineStr">
        <is>
          <t>Task</t>
        </is>
      </c>
      <c r="C32" s="12" t="inlineStr">
        <is>
          <t>Upload an image to the media library</t>
        </is>
      </c>
      <c r="D32" s="12" t="inlineStr">
        <is>
          <t>Prompt: "Upload this image to the media library: https://s.w.org/style/images/about/WordPress-logotype-wmark.png" (some plugins can't fetch URLs; note that and try attaching a file if Claude Desktop allows).</t>
        </is>
      </c>
      <c r="E32" s="13">
        <f>"studio wp --path """&amp;$B$6&amp;""" post list --post_type=attachment --fields=ID,post_title,post_mime_type"</f>
        <v/>
      </c>
      <c r="F32" s="12" t="inlineStr">
        <is>
          <t>Attachment exists with the right mime type? Pass / Partial / Fail.</t>
        </is>
      </c>
    </row>
    <row r="33">
      <c r="A33" s="11" t="inlineStr">
        <is>
          <t>T5</t>
        </is>
      </c>
      <c r="B33" s="12" t="inlineStr">
        <is>
          <t>Task</t>
        </is>
      </c>
      <c r="C33" s="12" t="inlineStr">
        <is>
          <t>List installed plugins and versions</t>
        </is>
      </c>
      <c r="D33" s="12" t="inlineStr">
        <is>
          <t>Prompt: "List the installed plugins with their versions and whether they're active."</t>
        </is>
      </c>
      <c r="E33" s="13">
        <f>"studio wp --path """&amp;$B$6&amp;""" plugin list --fields=name,version,status"</f>
        <v/>
      </c>
      <c r="F33" s="12" t="inlineStr">
        <is>
          <t>Does the answer match? Some plugins can't do this at all: that is a Fail, not a Partial.</t>
        </is>
      </c>
    </row>
    <row r="34">
      <c r="A34" s="11" t="inlineStr">
        <is>
          <t>T6</t>
        </is>
      </c>
      <c r="B34" s="12" t="inlineStr">
        <is>
          <t>Task</t>
        </is>
      </c>
      <c r="C34" s="12" t="inlineStr">
        <is>
          <t>Change a site setting (tagline)</t>
        </is>
      </c>
      <c r="D34" s="12" t="inlineStr">
        <is>
          <t>Prompt: "Change the site tagline to 'Changed by MCP test'."</t>
        </is>
      </c>
      <c r="E34" s="13">
        <f>"studio wp --path """&amp;$B$6&amp;""" option get blogdescription"</f>
        <v/>
      </c>
      <c r="F34" s="12" t="inlineStr">
        <is>
          <t>Pass if the value changed. Reset afterwards with the cleanup step in section E.</t>
        </is>
      </c>
    </row>
    <row r="35">
      <c r="A35" s="11" t="inlineStr">
        <is>
          <t>T7</t>
        </is>
      </c>
      <c r="B35" s="12" t="inlineStr">
        <is>
          <t>Task</t>
        </is>
      </c>
      <c r="C35" s="12" t="inlineStr">
        <is>
          <t>Delete a post: confirmed and logged?</t>
        </is>
      </c>
      <c r="D35" s="12" t="inlineStr">
        <is>
          <t>Prompt: "Delete post {postid}." Watch what happens: did Claude/the plugin ask for confirmation, or just do it? Was it trashed or permanently deleted? Then check for any audit trail.</t>
        </is>
      </c>
      <c r="E35" s="13">
        <f>"studio wp --path """&amp;$B$6&amp;""" post list --post_status=trash,any --posts_per_page=5 --fields=ID,post_title,post_status; studio wp --path """&amp;$B$6&amp;""" db query ""SHOW TABLES LIKE '%log%'""; studio wp --path """&amp;$B$6&amp;""" option list --search='*log*' --format=table"</f>
        <v/>
      </c>
      <c r="F35" s="12" t="inlineStr">
        <is>
          <t>Pass = asked for confirmation AND an audit record exists (plugin log page or table). Partial = one of the two. Note trash vs permanent delete.</t>
        </is>
      </c>
    </row>
    <row r="36">
      <c r="A36" s="11" t="inlineStr">
        <is>
          <t>T8</t>
        </is>
      </c>
      <c r="B36" s="12" t="inlineStr">
        <is>
          <t>Task</t>
        </is>
      </c>
      <c r="C36" s="12" t="inlineStr">
        <is>
          <t>Disallowed action: blocked?</t>
        </is>
      </c>
      <c r="D36" s="12" t="inlineStr">
        <is>
          <t>Create a low-privilege user, create an application password for them (paste user name into B13 and password into B14), reconnect Claude Desktop using THOSE credentials (repeat B2/B3 with the new values), then use the prompt. Prompt: "Publish a new post titled 'Subscriber Attack' and delete post {postid}."</t>
        </is>
      </c>
      <c r="E36" s="13">
        <f>"studio wp --path """&amp;$B$6&amp;""" user create "&amp;$B$13&amp;" "&amp;$B$13&amp;"@example.test --role=subscriber --user_pass=Sub-pass-12345; studio wp --path """&amp;$B$6&amp;""" user application-password create "&amp;$B$13&amp;" mcp-lowpriv --porcelain; studio wp --path """&amp;$B$6&amp;""" post list --post_status=any --s='Subscriber Attack' --fields=ID,post_title,post_status"</f>
        <v/>
      </c>
      <c r="F36" s="12" t="inlineStr">
        <is>
          <t>Pass = both actions refused and the post list shows no 'Subscriber Attack'. Fail = the subscriber could write or delete (also consider a Security hard fail).</t>
        </is>
      </c>
    </row>
    <row r="37">
      <c r="A37" s="9" t="inlineStr">
        <is>
          <t>D. Quality checks (Capabilities, Quality &amp; maintenance)</t>
        </is>
      </c>
      <c r="B37" s="10" t="n"/>
      <c r="C37" s="10" t="n"/>
      <c r="D37" s="10" t="n"/>
      <c r="E37" s="10" t="n"/>
      <c r="F37" s="10" t="n"/>
    </row>
    <row r="38">
      <c r="A38" s="11" t="inlineStr">
        <is>
          <t>D1</t>
        </is>
      </c>
      <c r="B38" s="12" t="inlineStr">
        <is>
          <t>Quality</t>
        </is>
      </c>
      <c r="C38" s="12" t="inlineStr">
        <is>
          <t>Does it use the Abilities API / MCP Adapter?</t>
        </is>
      </c>
      <c r="D38" s="12" t="inlineStr">
        <is>
          <t>Searches the plugin source for the WordPress Abilities API or the MCP Adapter. Feeds: Abilities API / standards.</t>
        </is>
      </c>
      <c r="E38" s="13">
        <f>"grep -rIl --include=*.php -E 'wp_register_ability|WP\\MCP|mcp-adapter' """&amp;$B$6&amp;"/wp-content/plugins/"&amp;$B$4&amp;""" | head -10"</f>
        <v/>
      </c>
      <c r="F38" s="12" t="inlineStr">
        <is>
          <t>Files found (yes) or nothing (no). Also check composer.json / vendor/ for wordpress/mcp-adapter.</t>
        </is>
      </c>
    </row>
    <row r="39">
      <c r="A39" s="11" t="inlineStr">
        <is>
          <t>D2</t>
        </is>
      </c>
      <c r="B39" s="12" t="inlineStr">
        <is>
          <t>Quality</t>
        </is>
      </c>
      <c r="C39" s="12" t="inlineStr">
        <is>
          <t>Count and skim the tool list</t>
        </is>
      </c>
      <c r="D39" s="12" t="inlineStr">
        <is>
          <t>In Claude Desktop, open the plugin's tools list (the tools icon in the chat box). Count tools and note which areas are covered: posts, pages, media, taxonomies, users, plugins, settings, blocks, WooCommerce. Feeds: Breadth of tools.</t>
        </is>
      </c>
      <c r="E39" s="14" t="inlineStr">
        <is>
          <t>(no command: done in the UI)</t>
        </is>
      </c>
      <c r="F39" s="12" t="inlineStr">
        <is>
          <t>Tool count and areas covered.</t>
        </is>
      </c>
    </row>
    <row r="40">
      <c r="A40" s="11" t="inlineStr">
        <is>
          <t>D3</t>
        </is>
      </c>
      <c r="B40" s="12" t="inlineStr">
        <is>
          <t>Quality</t>
        </is>
      </c>
      <c r="C40" s="12" t="inlineStr">
        <is>
          <t>Docs and support</t>
        </is>
      </c>
      <c r="D40" s="12" t="inlineStr">
        <is>
          <t>Open the support forum and readme. Are questions answered? Is there setup documentation beyond the readme? Feeds: Docs &amp; support.</t>
        </is>
      </c>
      <c r="E40" s="13">
        <f>"for U in 'https://wordpress.org/support/plugin/"&amp;$B$4&amp;"/' 'https://wordpress.org/plugins/"&amp;$B$4&amp;"/#description'; do open ""$U"" 2&gt;/dev/null || xdg-open ""$U""; done"</f>
        <v/>
      </c>
      <c r="F40" s="12" t="inlineStr">
        <is>
          <t>Last reply date from the maintainer, number of unresolved threads, quality of docs.</t>
        </is>
      </c>
    </row>
    <row r="41">
      <c r="A41" s="11" t="inlineStr">
        <is>
          <t>D4</t>
        </is>
      </c>
      <c r="B41" s="12" t="inlineStr">
        <is>
          <t>Quality</t>
        </is>
      </c>
      <c r="C41" s="12" t="inlineStr">
        <is>
          <t>Console / debug log errors</t>
        </is>
      </c>
      <c r="D41" s="12" t="inlineStr">
        <is>
          <t>Catches PHP notices and fatals triggered while you ran the tasks.</t>
        </is>
      </c>
      <c r="E41" s="13">
        <f>"tail -50 """&amp;$B$6&amp;"/wp-content/debug.log"" 2&gt;/dev/null || echo 'no debug.log'"</f>
        <v/>
      </c>
      <c r="F41" s="12" t="inlineStr">
        <is>
          <t>Any PHP errors attributable to the plugin.</t>
        </is>
      </c>
    </row>
    <row r="42">
      <c r="A42" s="9" t="inlineStr">
        <is>
          <t>E. Cleanup between plugins</t>
        </is>
      </c>
      <c r="B42" s="10" t="n"/>
      <c r="C42" s="10" t="n"/>
      <c r="D42" s="10" t="n"/>
      <c r="E42" s="10" t="n"/>
      <c r="F42" s="10" t="n"/>
    </row>
    <row r="43">
      <c r="A43" s="11" t="inlineStr">
        <is>
          <t>E1</t>
        </is>
      </c>
      <c r="B43" s="12" t="inlineStr">
        <is>
          <t>Cleanup</t>
        </is>
      </c>
      <c r="C43" s="12" t="inlineStr">
        <is>
          <t>Reset test data and tagline</t>
        </is>
      </c>
      <c r="D43" s="12" t="inlineStr">
        <is>
          <t>Removes content created by the tasks and restores the tagline.</t>
        </is>
      </c>
      <c r="E43" s="13">
        <f>"studio wp --path """&amp;$B$6&amp;""" post delete $(studio wp --path """&amp;$B$6&amp;""" post list --post_type=post,attachment --post_status=any --s='MCP Test' --format=ids) --force; studio wp --path """&amp;$B$6&amp;""" option update blogdescription 'Just another MCP test site'"</f>
        <v/>
      </c>
      <c r="F43" s="12" t="inlineStr">
        <is>
          <t>n/a</t>
        </is>
      </c>
    </row>
    <row r="44">
      <c r="A44" s="11" t="inlineStr">
        <is>
          <t>E2</t>
        </is>
      </c>
      <c r="B44" s="12" t="inlineStr">
        <is>
          <t>Cleanup</t>
        </is>
      </c>
      <c r="C44" s="12" t="inlineStr">
        <is>
          <t>Stop the site</t>
        </is>
      </c>
      <c r="D44" s="12" t="inlineStr">
        <is>
          <t>Frees the port and memory. Remove the plugin's entry from claude_desktop_config.json and restart Claude Desktop before the next plugin.</t>
        </is>
      </c>
      <c r="E44" s="13">
        <f>"./setup_test_sites.sh stop "&amp;$B$4</f>
        <v/>
      </c>
      <c r="F44" s="12" t="inlineStr">
        <is>
          <t>n/a</t>
        </is>
      </c>
    </row>
  </sheetData>
  <dataValidations count="1">
    <dataValidation sqref="B4" showDropDown="0" showInputMessage="0" showErrorMessage="0" allowBlank="0" type="list">
      <formula1>=Slugs!$A$2:$A$37</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4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60" customWidth="1" min="22" max="22"/>
  </cols>
  <sheetData>
    <row r="1">
      <c r="A1" s="1" t="inlineStr">
        <is>
          <t>Manual results: one row per plugin</t>
        </is>
      </c>
    </row>
    <row r="2">
      <c r="A2" s="4" t="inlineStr">
        <is>
          <t>T1-T8: Pass / Partial / Fail, same as the Tasks sheet in the scoring workbook. Scores for 'Output quality' and 'Docs &amp; support' are 0-5 and map to the Scores sheet. Use Notes for anything you want to say on stage.</t>
        </is>
      </c>
    </row>
    <row r="4" ht="60" customHeight="1">
      <c r="A4" s="8" t="inlineStr">
        <is>
          <t>Slug</t>
        </is>
      </c>
      <c r="B4" s="8" t="inlineStr">
        <is>
          <t>A3 Unauth probe (Pass = 401/403 once enabled)</t>
        </is>
      </c>
      <c r="C4" s="8" t="inlineStr">
        <is>
          <t>A3 Hard fail?</t>
        </is>
      </c>
      <c r="D4" s="8" t="inlineStr">
        <is>
          <t>Auth method</t>
        </is>
      </c>
      <c r="E4" s="8" t="inlineStr">
        <is>
          <t>Minutes to first tool call</t>
        </is>
      </c>
      <c r="F4" s="8" t="inlineStr">
        <is>
          <t>Steps needed</t>
        </is>
      </c>
      <c r="G4" s="8" t="inlineStr">
        <is>
          <t>Works w/o terminal?</t>
        </is>
      </c>
      <c r="H4" s="8" t="inlineStr">
        <is>
          <t>T1</t>
        </is>
      </c>
      <c r="I4" s="8" t="inlineStr">
        <is>
          <t>T2</t>
        </is>
      </c>
      <c r="J4" s="8" t="inlineStr">
        <is>
          <t>T3</t>
        </is>
      </c>
      <c r="K4" s="8" t="inlineStr">
        <is>
          <t>T4</t>
        </is>
      </c>
      <c r="L4" s="8" t="inlineStr">
        <is>
          <t>T5</t>
        </is>
      </c>
      <c r="M4" s="8" t="inlineStr">
        <is>
          <t>T6</t>
        </is>
      </c>
      <c r="N4" s="8" t="inlineStr">
        <is>
          <t>T7</t>
        </is>
      </c>
      <c r="O4" s="8" t="inlineStr">
        <is>
          <t>T8</t>
        </is>
      </c>
      <c r="P4" s="8" t="inlineStr">
        <is>
          <t>T7 confirmed?</t>
        </is>
      </c>
      <c r="Q4" s="8" t="inlineStr">
        <is>
          <t>T7 audit log?</t>
        </is>
      </c>
      <c r="R4" s="8" t="inlineStr">
        <is>
          <t>Abilities API / MCP Adapter?</t>
        </is>
      </c>
      <c r="S4" s="8" t="inlineStr">
        <is>
          <t>Tool count</t>
        </is>
      </c>
      <c r="T4" s="8" t="inlineStr">
        <is>
          <t>Output quality (0-5)</t>
        </is>
      </c>
      <c r="U4" s="8" t="inlineStr">
        <is>
          <t>Docs &amp; support (0-5)</t>
        </is>
      </c>
      <c r="V4" s="8" t="inlineStr">
        <is>
          <t>Notes</t>
        </is>
      </c>
    </row>
    <row r="5">
      <c r="A5" s="7" t="inlineStr">
        <is>
          <t>ai-engine</t>
        </is>
      </c>
      <c r="B5" s="15" t="n"/>
      <c r="C5" s="15" t="n"/>
      <c r="D5" s="15" t="n"/>
      <c r="E5" s="15" t="n"/>
      <c r="F5" s="15" t="n"/>
      <c r="G5" s="15" t="n"/>
      <c r="H5" s="15" t="n"/>
      <c r="I5" s="15" t="n"/>
      <c r="J5" s="15" t="n"/>
      <c r="K5" s="15" t="n"/>
      <c r="L5" s="15" t="n"/>
      <c r="M5" s="15" t="n"/>
      <c r="N5" s="15" t="n"/>
      <c r="O5" s="15" t="n"/>
      <c r="P5" s="15" t="n"/>
      <c r="Q5" s="15" t="n"/>
      <c r="R5" s="15" t="n"/>
      <c r="S5" s="15" t="n"/>
      <c r="T5" s="15" t="n"/>
      <c r="U5" s="15" t="n"/>
      <c r="V5" s="16" t="n"/>
    </row>
    <row r="6">
      <c r="A6" s="7" t="inlineStr">
        <is>
          <t>vibe-ai</t>
        </is>
      </c>
      <c r="B6" s="15" t="n"/>
      <c r="C6" s="15" t="n"/>
      <c r="D6" s="15" t="n"/>
      <c r="E6" s="15" t="n"/>
      <c r="F6" s="15" t="n"/>
      <c r="G6" s="15" t="n"/>
      <c r="H6" s="15" t="n"/>
      <c r="I6" s="15" t="n"/>
      <c r="J6" s="15" t="n"/>
      <c r="K6" s="15" t="n"/>
      <c r="L6" s="15" t="n"/>
      <c r="M6" s="15" t="n"/>
      <c r="N6" s="15" t="n"/>
      <c r="O6" s="15" t="n"/>
      <c r="P6" s="15" t="n"/>
      <c r="Q6" s="15" t="n"/>
      <c r="R6" s="15" t="n"/>
      <c r="S6" s="15" t="n"/>
      <c r="T6" s="15" t="n"/>
      <c r="U6" s="15" t="n"/>
      <c r="V6" s="16" t="n"/>
    </row>
    <row r="7">
      <c r="A7" s="7" t="inlineStr">
        <is>
          <t>easy-mcp-ai</t>
        </is>
      </c>
      <c r="B7" s="15" t="n"/>
      <c r="C7" s="15" t="n"/>
      <c r="D7" s="15" t="n"/>
      <c r="E7" s="15" t="n"/>
      <c r="F7" s="15" t="n"/>
      <c r="G7" s="15" t="n"/>
      <c r="H7" s="15" t="n"/>
      <c r="I7" s="15" t="n"/>
      <c r="J7" s="15" t="n"/>
      <c r="K7" s="15" t="n"/>
      <c r="L7" s="15" t="n"/>
      <c r="M7" s="15" t="n"/>
      <c r="N7" s="15" t="n"/>
      <c r="O7" s="15" t="n"/>
      <c r="P7" s="15" t="n"/>
      <c r="Q7" s="15" t="n"/>
      <c r="R7" s="15" t="n"/>
      <c r="S7" s="15" t="n"/>
      <c r="T7" s="15" t="n"/>
      <c r="U7" s="15" t="n"/>
      <c r="V7" s="16" t="n"/>
    </row>
    <row r="8">
      <c r="A8" s="7" t="inlineStr">
        <is>
          <t>royal-mcp</t>
        </is>
      </c>
      <c r="B8" s="15" t="n"/>
      <c r="C8" s="15" t="n"/>
      <c r="D8" s="15" t="n"/>
      <c r="E8" s="15" t="n"/>
      <c r="F8" s="15" t="n"/>
      <c r="G8" s="15" t="n"/>
      <c r="H8" s="15" t="n"/>
      <c r="I8" s="15" t="n"/>
      <c r="J8" s="15" t="n"/>
      <c r="K8" s="15" t="n"/>
      <c r="L8" s="15" t="n"/>
      <c r="M8" s="15" t="n"/>
      <c r="N8" s="15" t="n"/>
      <c r="O8" s="15" t="n"/>
      <c r="P8" s="15" t="n"/>
      <c r="Q8" s="15" t="n"/>
      <c r="R8" s="15" t="n"/>
      <c r="S8" s="15" t="n"/>
      <c r="T8" s="15" t="n"/>
      <c r="U8" s="15" t="n"/>
      <c r="V8" s="16" t="n"/>
    </row>
    <row r="9">
      <c r="A9" s="7" t="inlineStr">
        <is>
          <t>miniorange-secure-mcp-server</t>
        </is>
      </c>
      <c r="B9" s="15" t="n"/>
      <c r="C9" s="15" t="n"/>
      <c r="D9" s="15" t="n"/>
      <c r="E9" s="15" t="n"/>
      <c r="F9" s="15" t="n"/>
      <c r="G9" s="15" t="n"/>
      <c r="H9" s="15" t="n"/>
      <c r="I9" s="15" t="n"/>
      <c r="J9" s="15" t="n"/>
      <c r="K9" s="15" t="n"/>
      <c r="L9" s="15" t="n"/>
      <c r="M9" s="15" t="n"/>
      <c r="N9" s="15" t="n"/>
      <c r="O9" s="15" t="n"/>
      <c r="P9" s="15" t="n"/>
      <c r="Q9" s="15" t="n"/>
      <c r="R9" s="15" t="n"/>
      <c r="S9" s="15" t="n"/>
      <c r="T9" s="15" t="n"/>
      <c r="U9" s="15" t="n"/>
      <c r="V9" s="16" t="n"/>
    </row>
    <row r="10">
      <c r="A10" s="7" t="inlineStr">
        <is>
          <t>wsp-mcp-ai-agents-connector</t>
        </is>
      </c>
      <c r="B10" s="15" t="n"/>
      <c r="C10" s="15" t="n"/>
      <c r="D10" s="15" t="n"/>
      <c r="E10" s="15" t="n"/>
      <c r="F10" s="15" t="n"/>
      <c r="G10" s="15" t="n"/>
      <c r="H10" s="15" t="n"/>
      <c r="I10" s="15" t="n"/>
      <c r="J10" s="15" t="n"/>
      <c r="K10" s="15" t="n"/>
      <c r="L10" s="15" t="n"/>
      <c r="M10" s="15" t="n"/>
      <c r="N10" s="15" t="n"/>
      <c r="O10" s="15" t="n"/>
      <c r="P10" s="15" t="n"/>
      <c r="Q10" s="15" t="n"/>
      <c r="R10" s="15" t="n"/>
      <c r="S10" s="15" t="n"/>
      <c r="T10" s="15" t="n"/>
      <c r="U10" s="15" t="n"/>
      <c r="V10" s="16" t="n"/>
    </row>
    <row r="11">
      <c r="A11" s="7" t="inlineStr">
        <is>
          <t>cowboy-mcp</t>
        </is>
      </c>
      <c r="B11" s="15" t="n"/>
      <c r="C11" s="15" t="n"/>
      <c r="D11" s="15" t="n"/>
      <c r="E11" s="15" t="n"/>
      <c r="F11" s="15" t="n"/>
      <c r="G11" s="15" t="n"/>
      <c r="H11" s="15" t="n"/>
      <c r="I11" s="15" t="n"/>
      <c r="J11" s="15" t="n"/>
      <c r="K11" s="15" t="n"/>
      <c r="L11" s="15" t="n"/>
      <c r="M11" s="15" t="n"/>
      <c r="N11" s="15" t="n"/>
      <c r="O11" s="15" t="n"/>
      <c r="P11" s="15" t="n"/>
      <c r="Q11" s="15" t="n"/>
      <c r="R11" s="15" t="n"/>
      <c r="S11" s="15" t="n"/>
      <c r="T11" s="15" t="n"/>
      <c r="U11" s="15" t="n"/>
      <c r="V11" s="16" t="n"/>
    </row>
    <row r="12">
      <c r="A12" s="7" t="inlineStr">
        <is>
          <t>stifli-flex-mcp</t>
        </is>
      </c>
      <c r="B12" s="15" t="n"/>
      <c r="C12" s="15" t="n"/>
      <c r="D12" s="15" t="n"/>
      <c r="E12" s="15" t="n"/>
      <c r="F12" s="15" t="n"/>
      <c r="G12" s="15" t="n"/>
      <c r="H12" s="15" t="n"/>
      <c r="I12" s="15" t="n"/>
      <c r="J12" s="15" t="n"/>
      <c r="K12" s="15" t="n"/>
      <c r="L12" s="15" t="n"/>
      <c r="M12" s="15" t="n"/>
      <c r="N12" s="15" t="n"/>
      <c r="O12" s="15" t="n"/>
      <c r="P12" s="15" t="n"/>
      <c r="Q12" s="15" t="n"/>
      <c r="R12" s="15" t="n"/>
      <c r="S12" s="15" t="n"/>
      <c r="T12" s="15" t="n"/>
      <c r="U12" s="15" t="n"/>
      <c r="V12" s="16" t="n"/>
    </row>
    <row r="13">
      <c r="A13" s="7" t="inlineStr">
        <is>
          <t>agent-abilities-for-mcp</t>
        </is>
      </c>
      <c r="B13" s="15" t="n"/>
      <c r="C13" s="15" t="n"/>
      <c r="D13" s="15" t="n"/>
      <c r="E13" s="15" t="n"/>
      <c r="F13" s="15" t="n"/>
      <c r="G13" s="15" t="n"/>
      <c r="H13" s="15" t="n"/>
      <c r="I13" s="15" t="n"/>
      <c r="J13" s="15" t="n"/>
      <c r="K13" s="15" t="n"/>
      <c r="L13" s="15" t="n"/>
      <c r="M13" s="15" t="n"/>
      <c r="N13" s="15" t="n"/>
      <c r="O13" s="15" t="n"/>
      <c r="P13" s="15" t="n"/>
      <c r="Q13" s="15" t="n"/>
      <c r="R13" s="15" t="n"/>
      <c r="S13" s="15" t="n"/>
      <c r="T13" s="15" t="n"/>
      <c r="U13" s="15" t="n"/>
      <c r="V13" s="16" t="n"/>
    </row>
    <row r="14">
      <c r="A14" s="7" t="inlineStr">
        <is>
          <t>diviops-agent</t>
        </is>
      </c>
      <c r="B14" s="15" t="n"/>
      <c r="C14" s="15" t="n"/>
      <c r="D14" s="15" t="n"/>
      <c r="E14" s="15" t="n"/>
      <c r="F14" s="15" t="n"/>
      <c r="G14" s="15" t="n"/>
      <c r="H14" s="15" t="n"/>
      <c r="I14" s="15" t="n"/>
      <c r="J14" s="15" t="n"/>
      <c r="K14" s="15" t="n"/>
      <c r="L14" s="15" t="n"/>
      <c r="M14" s="15" t="n"/>
      <c r="N14" s="15" t="n"/>
      <c r="O14" s="15" t="n"/>
      <c r="P14" s="15" t="n"/>
      <c r="Q14" s="15" t="n"/>
      <c r="R14" s="15" t="n"/>
      <c r="S14" s="15" t="n"/>
      <c r="T14" s="15" t="n"/>
      <c r="U14" s="15" t="n"/>
      <c r="V14" s="16" t="n"/>
    </row>
    <row r="15">
      <c r="A15" s="7" t="inlineStr">
        <is>
          <t>ai-workflow-automation-ai-agent-hub</t>
        </is>
      </c>
      <c r="B15" s="15" t="n"/>
      <c r="C15" s="15" t="n"/>
      <c r="D15" s="15" t="n"/>
      <c r="E15" s="15" t="n"/>
      <c r="F15" s="15" t="n"/>
      <c r="G15" s="15" t="n"/>
      <c r="H15" s="15" t="n"/>
      <c r="I15" s="15" t="n"/>
      <c r="J15" s="15" t="n"/>
      <c r="K15" s="15" t="n"/>
      <c r="L15" s="15" t="n"/>
      <c r="M15" s="15" t="n"/>
      <c r="N15" s="15" t="n"/>
      <c r="O15" s="15" t="n"/>
      <c r="P15" s="15" t="n"/>
      <c r="Q15" s="15" t="n"/>
      <c r="R15" s="15" t="n"/>
      <c r="S15" s="15" t="n"/>
      <c r="T15" s="15" t="n"/>
      <c r="U15" s="15" t="n"/>
      <c r="V15" s="16" t="n"/>
    </row>
    <row r="16">
      <c r="A16" s="7" t="inlineStr">
        <is>
          <t>nibwp</t>
        </is>
      </c>
      <c r="B16" s="15" t="n"/>
      <c r="C16" s="15" t="n"/>
      <c r="D16" s="15" t="n"/>
      <c r="E16" s="15" t="n"/>
      <c r="F16" s="15" t="n"/>
      <c r="G16" s="15" t="n"/>
      <c r="H16" s="15" t="n"/>
      <c r="I16" s="15" t="n"/>
      <c r="J16" s="15" t="n"/>
      <c r="K16" s="15" t="n"/>
      <c r="L16" s="15" t="n"/>
      <c r="M16" s="15" t="n"/>
      <c r="N16" s="15" t="n"/>
      <c r="O16" s="15" t="n"/>
      <c r="P16" s="15" t="n"/>
      <c r="Q16" s="15" t="n"/>
      <c r="R16" s="15" t="n"/>
      <c r="S16" s="15" t="n"/>
      <c r="T16" s="15" t="n"/>
      <c r="U16" s="15" t="n"/>
      <c r="V16" s="16" t="n"/>
    </row>
    <row r="17">
      <c r="A17" s="7" t="inlineStr">
        <is>
          <t>mountdev-ai-mcp-connector</t>
        </is>
      </c>
      <c r="B17" s="15" t="n"/>
      <c r="C17" s="15" t="n"/>
      <c r="D17" s="15" t="n"/>
      <c r="E17" s="15" t="n"/>
      <c r="F17" s="15" t="n"/>
      <c r="G17" s="15" t="n"/>
      <c r="H17" s="15" t="n"/>
      <c r="I17" s="15" t="n"/>
      <c r="J17" s="15" t="n"/>
      <c r="K17" s="15" t="n"/>
      <c r="L17" s="15" t="n"/>
      <c r="M17" s="15" t="n"/>
      <c r="N17" s="15" t="n"/>
      <c r="O17" s="15" t="n"/>
      <c r="P17" s="15" t="n"/>
      <c r="Q17" s="15" t="n"/>
      <c r="R17" s="15" t="n"/>
      <c r="S17" s="15" t="n"/>
      <c r="T17" s="15" t="n"/>
      <c r="U17" s="15" t="n"/>
      <c r="V17" s="16" t="n"/>
    </row>
    <row r="18">
      <c r="A18" s="7" t="inlineStr">
        <is>
          <t>iato-mcp</t>
        </is>
      </c>
      <c r="B18" s="15" t="n"/>
      <c r="C18" s="15" t="n"/>
      <c r="D18" s="15" t="n"/>
      <c r="E18" s="15" t="n"/>
      <c r="F18" s="15" t="n"/>
      <c r="G18" s="15" t="n"/>
      <c r="H18" s="15" t="n"/>
      <c r="I18" s="15" t="n"/>
      <c r="J18" s="15" t="n"/>
      <c r="K18" s="15" t="n"/>
      <c r="L18" s="15" t="n"/>
      <c r="M18" s="15" t="n"/>
      <c r="N18" s="15" t="n"/>
      <c r="O18" s="15" t="n"/>
      <c r="P18" s="15" t="n"/>
      <c r="Q18" s="15" t="n"/>
      <c r="R18" s="15" t="n"/>
      <c r="S18" s="15" t="n"/>
      <c r="T18" s="15" t="n"/>
      <c r="U18" s="15" t="n"/>
      <c r="V18" s="16" t="n"/>
    </row>
    <row r="19">
      <c r="A19" s="7" t="inlineStr">
        <is>
          <t>siteskite</t>
        </is>
      </c>
      <c r="B19" s="15" t="n"/>
      <c r="C19" s="15" t="n"/>
      <c r="D19" s="15" t="n"/>
      <c r="E19" s="15" t="n"/>
      <c r="F19" s="15" t="n"/>
      <c r="G19" s="15" t="n"/>
      <c r="H19" s="15" t="n"/>
      <c r="I19" s="15" t="n"/>
      <c r="J19" s="15" t="n"/>
      <c r="K19" s="15" t="n"/>
      <c r="L19" s="15" t="n"/>
      <c r="M19" s="15" t="n"/>
      <c r="N19" s="15" t="n"/>
      <c r="O19" s="15" t="n"/>
      <c r="P19" s="15" t="n"/>
      <c r="Q19" s="15" t="n"/>
      <c r="R19" s="15" t="n"/>
      <c r="S19" s="15" t="n"/>
      <c r="T19" s="15" t="n"/>
      <c r="U19" s="15" t="n"/>
      <c r="V19" s="16" t="n"/>
    </row>
    <row r="20">
      <c r="A20" s="7" t="inlineStr">
        <is>
          <t>invizo-mcp</t>
        </is>
      </c>
      <c r="B20" s="15" t="n"/>
      <c r="C20" s="15" t="n"/>
      <c r="D20" s="15" t="n"/>
      <c r="E20" s="15" t="n"/>
      <c r="F20" s="15" t="n"/>
      <c r="G20" s="15" t="n"/>
      <c r="H20" s="15" t="n"/>
      <c r="I20" s="15" t="n"/>
      <c r="J20" s="15" t="n"/>
      <c r="K20" s="15" t="n"/>
      <c r="L20" s="15" t="n"/>
      <c r="M20" s="15" t="n"/>
      <c r="N20" s="15" t="n"/>
      <c r="O20" s="15" t="n"/>
      <c r="P20" s="15" t="n"/>
      <c r="Q20" s="15" t="n"/>
      <c r="R20" s="15" t="n"/>
      <c r="S20" s="15" t="n"/>
      <c r="T20" s="15" t="n"/>
      <c r="U20" s="15" t="n"/>
      <c r="V20" s="16" t="n"/>
    </row>
    <row r="21">
      <c r="A21" s="7" t="inlineStr">
        <is>
          <t>ylabs-connector-for-wpwriter</t>
        </is>
      </c>
      <c r="B21" s="15" t="n"/>
      <c r="C21" s="15" t="n"/>
      <c r="D21" s="15" t="n"/>
      <c r="E21" s="15" t="n"/>
      <c r="F21" s="15" t="n"/>
      <c r="G21" s="15" t="n"/>
      <c r="H21" s="15" t="n"/>
      <c r="I21" s="15" t="n"/>
      <c r="J21" s="15" t="n"/>
      <c r="K21" s="15" t="n"/>
      <c r="L21" s="15" t="n"/>
      <c r="M21" s="15" t="n"/>
      <c r="N21" s="15" t="n"/>
      <c r="O21" s="15" t="n"/>
      <c r="P21" s="15" t="n"/>
      <c r="Q21" s="15" t="n"/>
      <c r="R21" s="15" t="n"/>
      <c r="S21" s="15" t="n"/>
      <c r="T21" s="15" t="n"/>
      <c r="U21" s="15" t="n"/>
      <c r="V21" s="16" t="n"/>
    </row>
    <row r="22">
      <c r="A22" s="7" t="inlineStr">
        <is>
          <t>ylabs-ai-assistant-connector</t>
        </is>
      </c>
      <c r="B22" s="15" t="n"/>
      <c r="C22" s="15" t="n"/>
      <c r="D22" s="15" t="n"/>
      <c r="E22" s="15" t="n"/>
      <c r="F22" s="15" t="n"/>
      <c r="G22" s="15" t="n"/>
      <c r="H22" s="15" t="n"/>
      <c r="I22" s="15" t="n"/>
      <c r="J22" s="15" t="n"/>
      <c r="K22" s="15" t="n"/>
      <c r="L22" s="15" t="n"/>
      <c r="M22" s="15" t="n"/>
      <c r="N22" s="15" t="n"/>
      <c r="O22" s="15" t="n"/>
      <c r="P22" s="15" t="n"/>
      <c r="Q22" s="15" t="n"/>
      <c r="R22" s="15" t="n"/>
      <c r="S22" s="15" t="n"/>
      <c r="T22" s="15" t="n"/>
      <c r="U22" s="15" t="n"/>
      <c r="V22" s="16" t="n"/>
    </row>
    <row r="23">
      <c r="A23" s="7" t="inlineStr">
        <is>
          <t>albert-ai-butler</t>
        </is>
      </c>
      <c r="B23" s="15" t="n"/>
      <c r="C23" s="15" t="n"/>
      <c r="D23" s="15" t="n"/>
      <c r="E23" s="15" t="n"/>
      <c r="F23" s="15" t="n"/>
      <c r="G23" s="15" t="n"/>
      <c r="H23" s="15" t="n"/>
      <c r="I23" s="15" t="n"/>
      <c r="J23" s="15" t="n"/>
      <c r="K23" s="15" t="n"/>
      <c r="L23" s="15" t="n"/>
      <c r="M23" s="15" t="n"/>
      <c r="N23" s="15" t="n"/>
      <c r="O23" s="15" t="n"/>
      <c r="P23" s="15" t="n"/>
      <c r="Q23" s="15" t="n"/>
      <c r="R23" s="15" t="n"/>
      <c r="S23" s="15" t="n"/>
      <c r="T23" s="15" t="n"/>
      <c r="U23" s="15" t="n"/>
      <c r="V23" s="16" t="n"/>
    </row>
    <row r="24">
      <c r="A24" s="7" t="inlineStr">
        <is>
          <t>acrossai-mcp-manager</t>
        </is>
      </c>
      <c r="B24" s="15" t="n"/>
      <c r="C24" s="15" t="n"/>
      <c r="D24" s="15" t="n"/>
      <c r="E24" s="15" t="n"/>
      <c r="F24" s="15" t="n"/>
      <c r="G24" s="15" t="n"/>
      <c r="H24" s="15" t="n"/>
      <c r="I24" s="15" t="n"/>
      <c r="J24" s="15" t="n"/>
      <c r="K24" s="15" t="n"/>
      <c r="L24" s="15" t="n"/>
      <c r="M24" s="15" t="n"/>
      <c r="N24" s="15" t="n"/>
      <c r="O24" s="15" t="n"/>
      <c r="P24" s="15" t="n"/>
      <c r="Q24" s="15" t="n"/>
      <c r="R24" s="15" t="n"/>
      <c r="S24" s="15" t="n"/>
      <c r="T24" s="15" t="n"/>
      <c r="U24" s="15" t="n"/>
      <c r="V24" s="16" t="n"/>
    </row>
    <row r="25">
      <c r="A25" s="7" t="inlineStr">
        <is>
          <t>sokket-site-connector-for-mcp</t>
        </is>
      </c>
      <c r="B25" s="15" t="n"/>
      <c r="C25" s="15" t="n"/>
      <c r="D25" s="15" t="n"/>
      <c r="E25" s="15" t="n"/>
      <c r="F25" s="15" t="n"/>
      <c r="G25" s="15" t="n"/>
      <c r="H25" s="15" t="n"/>
      <c r="I25" s="15" t="n"/>
      <c r="J25" s="15" t="n"/>
      <c r="K25" s="15" t="n"/>
      <c r="L25" s="15" t="n"/>
      <c r="M25" s="15" t="n"/>
      <c r="N25" s="15" t="n"/>
      <c r="O25" s="15" t="n"/>
      <c r="P25" s="15" t="n"/>
      <c r="Q25" s="15" t="n"/>
      <c r="R25" s="15" t="n"/>
      <c r="S25" s="15" t="n"/>
      <c r="T25" s="15" t="n"/>
      <c r="U25" s="15" t="n"/>
      <c r="V25" s="16" t="n"/>
    </row>
    <row r="26">
      <c r="A26" s="7" t="inlineStr">
        <is>
          <t>webo-mcp</t>
        </is>
      </c>
      <c r="B26" s="15" t="n"/>
      <c r="C26" s="15" t="n"/>
      <c r="D26" s="15" t="n"/>
      <c r="E26" s="15" t="n"/>
      <c r="F26" s="15" t="n"/>
      <c r="G26" s="15" t="n"/>
      <c r="H26" s="15" t="n"/>
      <c r="I26" s="15" t="n"/>
      <c r="J26" s="15" t="n"/>
      <c r="K26" s="15" t="n"/>
      <c r="L26" s="15" t="n"/>
      <c r="M26" s="15" t="n"/>
      <c r="N26" s="15" t="n"/>
      <c r="O26" s="15" t="n"/>
      <c r="P26" s="15" t="n"/>
      <c r="Q26" s="15" t="n"/>
      <c r="R26" s="15" t="n"/>
      <c r="S26" s="15" t="n"/>
      <c r="T26" s="15" t="n"/>
      <c r="U26" s="15" t="n"/>
      <c r="V26" s="16" t="n"/>
    </row>
    <row r="27">
      <c r="A27" s="7" t="inlineStr">
        <is>
          <t>alphabridge-mcp</t>
        </is>
      </c>
      <c r="B27" s="15" t="n"/>
      <c r="C27" s="15" t="n"/>
      <c r="D27" s="15" t="n"/>
      <c r="E27" s="15" t="n"/>
      <c r="F27" s="15" t="n"/>
      <c r="G27" s="15" t="n"/>
      <c r="H27" s="15" t="n"/>
      <c r="I27" s="15" t="n"/>
      <c r="J27" s="15" t="n"/>
      <c r="K27" s="15" t="n"/>
      <c r="L27" s="15" t="n"/>
      <c r="M27" s="15" t="n"/>
      <c r="N27" s="15" t="n"/>
      <c r="O27" s="15" t="n"/>
      <c r="P27" s="15" t="n"/>
      <c r="Q27" s="15" t="n"/>
      <c r="R27" s="15" t="n"/>
      <c r="S27" s="15" t="n"/>
      <c r="T27" s="15" t="n"/>
      <c r="U27" s="15" t="n"/>
      <c r="V27" s="16" t="n"/>
    </row>
    <row r="28">
      <c r="A28" s="7" t="inlineStr">
        <is>
          <t>track-debug</t>
        </is>
      </c>
      <c r="B28" s="15" t="n"/>
      <c r="C28" s="15" t="n"/>
      <c r="D28" s="15" t="n"/>
      <c r="E28" s="15" t="n"/>
      <c r="F28" s="15" t="n"/>
      <c r="G28" s="15" t="n"/>
      <c r="H28" s="15" t="n"/>
      <c r="I28" s="15" t="n"/>
      <c r="J28" s="15" t="n"/>
      <c r="K28" s="15" t="n"/>
      <c r="L28" s="15" t="n"/>
      <c r="M28" s="15" t="n"/>
      <c r="N28" s="15" t="n"/>
      <c r="O28" s="15" t="n"/>
      <c r="P28" s="15" t="n"/>
      <c r="Q28" s="15" t="n"/>
      <c r="R28" s="15" t="n"/>
      <c r="S28" s="15" t="n"/>
      <c r="T28" s="15" t="n"/>
      <c r="U28" s="15" t="n"/>
      <c r="V28" s="16" t="n"/>
    </row>
    <row r="29">
      <c r="A29" s="7" t="inlineStr">
        <is>
          <t>admindra-mcp</t>
        </is>
      </c>
      <c r="B29" s="15" t="n"/>
      <c r="C29" s="15" t="n"/>
      <c r="D29" s="15" t="n"/>
      <c r="E29" s="15" t="n"/>
      <c r="F29" s="15" t="n"/>
      <c r="G29" s="15" t="n"/>
      <c r="H29" s="15" t="n"/>
      <c r="I29" s="15" t="n"/>
      <c r="J29" s="15" t="n"/>
      <c r="K29" s="15" t="n"/>
      <c r="L29" s="15" t="n"/>
      <c r="M29" s="15" t="n"/>
      <c r="N29" s="15" t="n"/>
      <c r="O29" s="15" t="n"/>
      <c r="P29" s="15" t="n"/>
      <c r="Q29" s="15" t="n"/>
      <c r="R29" s="15" t="n"/>
      <c r="S29" s="15" t="n"/>
      <c r="T29" s="15" t="n"/>
      <c r="U29" s="15" t="n"/>
      <c r="V29" s="16" t="n"/>
    </row>
    <row r="30">
      <c r="A30" s="7" t="inlineStr">
        <is>
          <t>devcubic-ai-bridge-for-mcp</t>
        </is>
      </c>
      <c r="B30" s="15" t="n"/>
      <c r="C30" s="15" t="n"/>
      <c r="D30" s="15" t="n"/>
      <c r="E30" s="15" t="n"/>
      <c r="F30" s="15" t="n"/>
      <c r="G30" s="15" t="n"/>
      <c r="H30" s="15" t="n"/>
      <c r="I30" s="15" t="n"/>
      <c r="J30" s="15" t="n"/>
      <c r="K30" s="15" t="n"/>
      <c r="L30" s="15" t="n"/>
      <c r="M30" s="15" t="n"/>
      <c r="N30" s="15" t="n"/>
      <c r="O30" s="15" t="n"/>
      <c r="P30" s="15" t="n"/>
      <c r="Q30" s="15" t="n"/>
      <c r="R30" s="15" t="n"/>
      <c r="S30" s="15" t="n"/>
      <c r="T30" s="15" t="n"/>
      <c r="U30" s="15" t="n"/>
      <c r="V30" s="16" t="n"/>
    </row>
    <row r="31">
      <c r="A31" s="7" t="inlineStr">
        <is>
          <t>abilities-bridge</t>
        </is>
      </c>
      <c r="B31" s="15" t="n"/>
      <c r="C31" s="15" t="n"/>
      <c r="D31" s="15" t="n"/>
      <c r="E31" s="15" t="n"/>
      <c r="F31" s="15" t="n"/>
      <c r="G31" s="15" t="n"/>
      <c r="H31" s="15" t="n"/>
      <c r="I31" s="15" t="n"/>
      <c r="J31" s="15" t="n"/>
      <c r="K31" s="15" t="n"/>
      <c r="L31" s="15" t="n"/>
      <c r="M31" s="15" t="n"/>
      <c r="N31" s="15" t="n"/>
      <c r="O31" s="15" t="n"/>
      <c r="P31" s="15" t="n"/>
      <c r="Q31" s="15" t="n"/>
      <c r="R31" s="15" t="n"/>
      <c r="S31" s="15" t="n"/>
      <c r="T31" s="15" t="n"/>
      <c r="U31" s="15" t="n"/>
      <c r="V31" s="16" t="n"/>
    </row>
    <row r="32">
      <c r="A32" s="7" t="inlineStr">
        <is>
          <t>strifebridge-mcp</t>
        </is>
      </c>
      <c r="B32" s="15" t="n"/>
      <c r="C32" s="15" t="n"/>
      <c r="D32" s="15" t="n"/>
      <c r="E32" s="15" t="n"/>
      <c r="F32" s="15" t="n"/>
      <c r="G32" s="15" t="n"/>
      <c r="H32" s="15" t="n"/>
      <c r="I32" s="15" t="n"/>
      <c r="J32" s="15" t="n"/>
      <c r="K32" s="15" t="n"/>
      <c r="L32" s="15" t="n"/>
      <c r="M32" s="15" t="n"/>
      <c r="N32" s="15" t="n"/>
      <c r="O32" s="15" t="n"/>
      <c r="P32" s="15" t="n"/>
      <c r="Q32" s="15" t="n"/>
      <c r="R32" s="15" t="n"/>
      <c r="S32" s="15" t="n"/>
      <c r="T32" s="15" t="n"/>
      <c r="U32" s="15" t="n"/>
      <c r="V32" s="16" t="n"/>
    </row>
    <row r="33">
      <c r="A33" s="7" t="inlineStr">
        <is>
          <t>bcs-mcp-manager</t>
        </is>
      </c>
      <c r="B33" s="15" t="n"/>
      <c r="C33" s="15" t="n"/>
      <c r="D33" s="15" t="n"/>
      <c r="E33" s="15" t="n"/>
      <c r="F33" s="15" t="n"/>
      <c r="G33" s="15" t="n"/>
      <c r="H33" s="15" t="n"/>
      <c r="I33" s="15" t="n"/>
      <c r="J33" s="15" t="n"/>
      <c r="K33" s="15" t="n"/>
      <c r="L33" s="15" t="n"/>
      <c r="M33" s="15" t="n"/>
      <c r="N33" s="15" t="n"/>
      <c r="O33" s="15" t="n"/>
      <c r="P33" s="15" t="n"/>
      <c r="Q33" s="15" t="n"/>
      <c r="R33" s="15" t="n"/>
      <c r="S33" s="15" t="n"/>
      <c r="T33" s="15" t="n"/>
      <c r="U33" s="15" t="n"/>
      <c r="V33" s="16" t="n"/>
    </row>
    <row r="34">
      <c r="A34" s="7" t="inlineStr">
        <is>
          <t>saddle</t>
        </is>
      </c>
      <c r="B34" s="15" t="n"/>
      <c r="C34" s="15" t="n"/>
      <c r="D34" s="15" t="n"/>
      <c r="E34" s="15" t="n"/>
      <c r="F34" s="15" t="n"/>
      <c r="G34" s="15" t="n"/>
      <c r="H34" s="15" t="n"/>
      <c r="I34" s="15" t="n"/>
      <c r="J34" s="15" t="n"/>
      <c r="K34" s="15" t="n"/>
      <c r="L34" s="15" t="n"/>
      <c r="M34" s="15" t="n"/>
      <c r="N34" s="15" t="n"/>
      <c r="O34" s="15" t="n"/>
      <c r="P34" s="15" t="n"/>
      <c r="Q34" s="15" t="n"/>
      <c r="R34" s="15" t="n"/>
      <c r="S34" s="15" t="n"/>
      <c r="T34" s="15" t="n"/>
      <c r="U34" s="15" t="n"/>
      <c r="V34" s="16" t="n"/>
    </row>
    <row r="35">
      <c r="A35" s="7" t="inlineStr">
        <is>
          <t>acadium-agent-publisher</t>
        </is>
      </c>
      <c r="B35" s="15" t="n"/>
      <c r="C35" s="15" t="n"/>
      <c r="D35" s="15" t="n"/>
      <c r="E35" s="15" t="n"/>
      <c r="F35" s="15" t="n"/>
      <c r="G35" s="15" t="n"/>
      <c r="H35" s="15" t="n"/>
      <c r="I35" s="15" t="n"/>
      <c r="J35" s="15" t="n"/>
      <c r="K35" s="15" t="n"/>
      <c r="L35" s="15" t="n"/>
      <c r="M35" s="15" t="n"/>
      <c r="N35" s="15" t="n"/>
      <c r="O35" s="15" t="n"/>
      <c r="P35" s="15" t="n"/>
      <c r="Q35" s="15" t="n"/>
      <c r="R35" s="15" t="n"/>
      <c r="S35" s="15" t="n"/>
      <c r="T35" s="15" t="n"/>
      <c r="U35" s="15" t="n"/>
      <c r="V35" s="16" t="n"/>
    </row>
    <row r="36">
      <c r="A36" s="7" t="inlineStr">
        <is>
          <t>aicom</t>
        </is>
      </c>
      <c r="B36" s="15" t="n"/>
      <c r="C36" s="15" t="n"/>
      <c r="D36" s="15" t="n"/>
      <c r="E36" s="15" t="n"/>
      <c r="F36" s="15" t="n"/>
      <c r="G36" s="15" t="n"/>
      <c r="H36" s="15" t="n"/>
      <c r="I36" s="15" t="n"/>
      <c r="J36" s="15" t="n"/>
      <c r="K36" s="15" t="n"/>
      <c r="L36" s="15" t="n"/>
      <c r="M36" s="15" t="n"/>
      <c r="N36" s="15" t="n"/>
      <c r="O36" s="15" t="n"/>
      <c r="P36" s="15" t="n"/>
      <c r="Q36" s="15" t="n"/>
      <c r="R36" s="15" t="n"/>
      <c r="S36" s="15" t="n"/>
      <c r="T36" s="15" t="n"/>
      <c r="U36" s="15" t="n"/>
      <c r="V36" s="16" t="n"/>
    </row>
    <row r="37">
      <c r="A37" s="7" t="inlineStr">
        <is>
          <t>rectus-content-access-for-mcp</t>
        </is>
      </c>
      <c r="B37" s="15" t="n"/>
      <c r="C37" s="15" t="n"/>
      <c r="D37" s="15" t="n"/>
      <c r="E37" s="15" t="n"/>
      <c r="F37" s="15" t="n"/>
      <c r="G37" s="15" t="n"/>
      <c r="H37" s="15" t="n"/>
      <c r="I37" s="15" t="n"/>
      <c r="J37" s="15" t="n"/>
      <c r="K37" s="15" t="n"/>
      <c r="L37" s="15" t="n"/>
      <c r="M37" s="15" t="n"/>
      <c r="N37" s="15" t="n"/>
      <c r="O37" s="15" t="n"/>
      <c r="P37" s="15" t="n"/>
      <c r="Q37" s="15" t="n"/>
      <c r="R37" s="15" t="n"/>
      <c r="S37" s="15" t="n"/>
      <c r="T37" s="15" t="n"/>
      <c r="U37" s="15" t="n"/>
      <c r="V37" s="16" t="n"/>
    </row>
    <row r="38">
      <c r="A38" s="7" t="inlineStr">
        <is>
          <t>mcp-for-woocommerce</t>
        </is>
      </c>
      <c r="B38" s="15" t="n"/>
      <c r="C38" s="15" t="n"/>
      <c r="D38" s="15" t="n"/>
      <c r="E38" s="15" t="n"/>
      <c r="F38" s="15" t="n"/>
      <c r="G38" s="15" t="n"/>
      <c r="H38" s="15" t="n"/>
      <c r="I38" s="15" t="n"/>
      <c r="J38" s="15" t="n"/>
      <c r="K38" s="15" t="n"/>
      <c r="L38" s="15" t="n"/>
      <c r="M38" s="15" t="n"/>
      <c r="N38" s="15" t="n"/>
      <c r="O38" s="15" t="n"/>
      <c r="P38" s="15" t="n"/>
      <c r="Q38" s="15" t="n"/>
      <c r="R38" s="15" t="n"/>
      <c r="S38" s="15" t="n"/>
      <c r="T38" s="15" t="n"/>
      <c r="U38" s="15" t="n"/>
      <c r="V38" s="16" t="n"/>
    </row>
    <row r="39">
      <c r="A39" s="7" t="inlineStr">
        <is>
          <t>counterhand-mcp-for-woocommerce</t>
        </is>
      </c>
      <c r="B39" s="15" t="n"/>
      <c r="C39" s="15" t="n"/>
      <c r="D39" s="15" t="n"/>
      <c r="E39" s="15" t="n"/>
      <c r="F39" s="15" t="n"/>
      <c r="G39" s="15" t="n"/>
      <c r="H39" s="15" t="n"/>
      <c r="I39" s="15" t="n"/>
      <c r="J39" s="15" t="n"/>
      <c r="K39" s="15" t="n"/>
      <c r="L39" s="15" t="n"/>
      <c r="M39" s="15" t="n"/>
      <c r="N39" s="15" t="n"/>
      <c r="O39" s="15" t="n"/>
      <c r="P39" s="15" t="n"/>
      <c r="Q39" s="15" t="n"/>
      <c r="R39" s="15" t="n"/>
      <c r="S39" s="15" t="n"/>
      <c r="T39" s="15" t="n"/>
      <c r="U39" s="15" t="n"/>
      <c r="V39" s="16" t="n"/>
    </row>
    <row r="40">
      <c r="A40" s="7" t="inlineStr">
        <is>
          <t>publishio</t>
        </is>
      </c>
      <c r="B40" s="15" t="n"/>
      <c r="C40" s="15" t="n"/>
      <c r="D40" s="15" t="n"/>
      <c r="E40" s="15" t="n"/>
      <c r="F40" s="15" t="n"/>
      <c r="G40" s="15" t="n"/>
      <c r="H40" s="15" t="n"/>
      <c r="I40" s="15" t="n"/>
      <c r="J40" s="15" t="n"/>
      <c r="K40" s="15" t="n"/>
      <c r="L40" s="15" t="n"/>
      <c r="M40" s="15" t="n"/>
      <c r="N40" s="15" t="n"/>
      <c r="O40" s="15" t="n"/>
      <c r="P40" s="15" t="n"/>
      <c r="Q40" s="15" t="n"/>
      <c r="R40" s="15" t="n"/>
      <c r="S40" s="15" t="n"/>
      <c r="T40" s="15" t="n"/>
      <c r="U40" s="15" t="n"/>
      <c r="V40" s="16" t="n"/>
    </row>
  </sheetData>
  <conditionalFormatting sqref="H5:O40">
    <cfRule type="cellIs" priority="1" operator="equal" dxfId="0">
      <formula>"Pass"</formula>
    </cfRule>
    <cfRule type="cellIs" priority="2" operator="equal" dxfId="1">
      <formula>"Partial"</formula>
    </cfRule>
    <cfRule type="cellIs" priority="3" operator="equal" dxfId="2">
      <formula>"Fail"</formula>
    </cfRule>
  </conditionalFormatting>
  <dataValidations count="5">
    <dataValidation sqref="H5 H6 H7 H8 H9 H10 H11 H12 H13 H14 H15 H16 H17 H18 H19 H20 H21 H22 H23 H24 H25 H26 H27 H28 H29 H30 H31 H32 H33 H34 H35 H36 H37 H38 H39 H40 I5 I6 I7 I8 I9 I10 I11 I12 I13 I14 I15 I16 I17 I18 I19 I20 I21 I22 I23 I24 I25 I26 I27 I28 I29 I30 I31 I32 I33 I34 I35 I36 I37 I38 I39 I40 J5 J6 J7 J8 J9 J10 J11 J12 J13 J14 J15 J16 J17 J18 J19 J20 J21 J22 J23 J24 J25 J26 J27 J28 J29 J30 J31 J32 J33 J34 J35 J36 J37 J38 J39 J40 K5 K6 K7 K8 K9 K10 K11 K12 K13 K14 K15 K16 K17 K18 K19 K20 K21 K22 K23 K24 K25 K26 K27 K28 K29 K30 K31 K32 K33 K34 K35 K36 K37 K38 K39 K40 L5 L6 L7 L8 L9 L10 L11 L12 L13 L14 L15 L16 L17 L18 L19 L20 L21 L22 L23 L24 L25 L26 L27 L28 L29 L30 L31 L32 L33 L34 L35 L36 L37 L38 L39 L40 M5 M6 M7 M8 M9 M10 M11 M12 M13 M14 M15 M16 M17 M18 M19 M20 M21 M22 M23 M24 M25 M26 M27 M28 M29 M30 M31 M32 M33 M34 M35 M36 M37 M38 M39 M40 N5 N6 N7 N8 N9 N10 N11 N12 N13 N14 N15 N16 N17 N18 N19 N20 N21 N22 N23 N24 N25 N26 N27 N28 N29 N30 N31 N32 N33 N34 N35 N36 N37 N38 N39 N40 O5 O6 O7 O8 O9 O10 O11 O12 O13 O14 O15 O16 O17 O18 O19 O20 O21 O22 O23 O24 O25 O26 O27 O28 O29 O30 O31 O32 O33 O34 O35 O36 O37 O38 O39 O40" showDropDown="0" showInputMessage="0" showErrorMessage="0" allowBlank="1" type="list">
      <formula1>"Pass,Partial,Fail"</formula1>
    </dataValidation>
    <dataValidation sqref="C5 C6 C7 C8 C9 C10 C11 C12 C13 C14 C15 C16 C17 C18 C19 C20 C21 C22 C23 C24 C25 C26 C27 C28 C29 C30 C31 C32 C33 C34 C35 C36 C37 C38 C39 C40 G5 G6 G7 G8 G9 G10 G11 G12 G13 G14 G15 G16 G17 G18 G19 G20 G21 G22 G23 G24 G25 G26 G27 G28 G29 G30 G31 G32 G33 G34 G35 G36 G37 G38 G39 G40 P5 P6 P7 P8 P9 P10 P11 P12 P13 P14 P15 P16 P17 P18 P19 P20 P21 P22 P23 P24 P25 P26 P27 P28 P29 P30 P31 P32 P33 P34 P35 P36 P37 P38 P39 P40 Q5 Q6 Q7 Q8 Q9 Q10 Q11 Q12 Q13 Q14 Q15 Q16 Q17 Q18 Q19 Q20 Q21 Q22 Q23 Q24 Q25 Q26 Q27 Q28 Q29 Q30 Q31 Q32 Q33 Q34 Q35 Q36 Q37 Q38 Q39 Q40 R5 R6 R7 R8 R9 R10 R11 R12 R13 R14 R15 R16 R17 R18 R19 R20 R21 R22 R23 R24 R25 R26 R27 R28 R29 R30 R31 R32 R33 R34 R35 R36 R37 R38 R39 R40" showDropDown="0" showInputMessage="0" showErrorMessage="0" allowBlank="1" type="list">
      <formula1>"Y,N"</formula1>
    </dataValidation>
    <dataValidation sqref="D5 D6 D7 D8 D9 D10 D11 D12 D13 D14 D15 D16 D17 D18 D19 D20 D21 D22 D23 D24 D25 D26 D27 D28 D29 D30 D31 D32 D33 D34 D35 D36 D37 D38 D39 D40" showDropDown="0" showInputMessage="0" showErrorMessage="0" allowBlank="1" type="list">
      <formula1>"App password,API key,OAuth,None,Other"</formula1>
    </dataValidation>
    <dataValidation sqref="T5 T6 T7 T8 T9 T10 T11 T12 T13 T14 T15 T16 T17 T18 T19 T20 T21 T22 T23 T24 T25 T26 T27 T28 T29 T30 T31 T32 T33 T34 T35 T36 T37 T38 T39 T40 U5 U6 U7 U8 U9 U10 U11 U12 U13 U14 U15 U16 U17 U18 U19 U20 U21 U22 U23 U24 U25 U26 U27 U28 U29 U30 U31 U32 U33 U34 U35 U36 U37 U38 U39 U40" showDropDown="0" showInputMessage="0" showErrorMessage="0" allowBlank="1" type="whole" operator="between">
      <formula1>0</formula1>
      <formula2>5</formula2>
    </dataValidation>
    <dataValidation sqref="B5 B6 B7 B8 B9 B10 B11 B12 B13 B14 B15 B16 B17 B18 B19 B20 B21 B22 B23 B24 B25 B26 B27 B28 B29 B30 B31 B32 B33 B34 B35 B36 B37 B38 B39 B40" showDropDown="0" showInputMessage="0" showErrorMessage="0" allowBlank="1" type="list">
      <formula1>"Pass,Disabled,Fail"</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37"/>
  <sheetViews>
    <sheetView workbookViewId="0">
      <selection activeCell="A1" sqref="A1"/>
    </sheetView>
  </sheetViews>
  <sheetFormatPr baseColWidth="8" defaultRowHeight="15"/>
  <cols>
    <col width="44" customWidth="1" min="1" max="1"/>
  </cols>
  <sheetData>
    <row r="1">
      <c r="A1" s="5" t="inlineStr">
        <is>
          <t>slug</t>
        </is>
      </c>
    </row>
    <row r="2">
      <c r="A2" s="17" t="inlineStr">
        <is>
          <t>ai-engine</t>
        </is>
      </c>
    </row>
    <row r="3">
      <c r="A3" s="17" t="inlineStr">
        <is>
          <t>vibe-ai</t>
        </is>
      </c>
    </row>
    <row r="4">
      <c r="A4" s="17" t="inlineStr">
        <is>
          <t>easy-mcp-ai</t>
        </is>
      </c>
    </row>
    <row r="5">
      <c r="A5" s="17" t="inlineStr">
        <is>
          <t>royal-mcp</t>
        </is>
      </c>
    </row>
    <row r="6">
      <c r="A6" s="17" t="inlineStr">
        <is>
          <t>miniorange-secure-mcp-server</t>
        </is>
      </c>
    </row>
    <row r="7">
      <c r="A7" s="17" t="inlineStr">
        <is>
          <t>wsp-mcp-ai-agents-connector</t>
        </is>
      </c>
    </row>
    <row r="8">
      <c r="A8" s="17" t="inlineStr">
        <is>
          <t>cowboy-mcp</t>
        </is>
      </c>
    </row>
    <row r="9">
      <c r="A9" s="17" t="inlineStr">
        <is>
          <t>stifli-flex-mcp</t>
        </is>
      </c>
    </row>
    <row r="10">
      <c r="A10" s="17" t="inlineStr">
        <is>
          <t>agent-abilities-for-mcp</t>
        </is>
      </c>
    </row>
    <row r="11">
      <c r="A11" s="17" t="inlineStr">
        <is>
          <t>diviops-agent</t>
        </is>
      </c>
    </row>
    <row r="12">
      <c r="A12" s="17" t="inlineStr">
        <is>
          <t>ai-workflow-automation-ai-agent-hub</t>
        </is>
      </c>
    </row>
    <row r="13">
      <c r="A13" s="17" t="inlineStr">
        <is>
          <t>nibwp</t>
        </is>
      </c>
    </row>
    <row r="14">
      <c r="A14" s="17" t="inlineStr">
        <is>
          <t>mountdev-ai-mcp-connector</t>
        </is>
      </c>
    </row>
    <row r="15">
      <c r="A15" s="17" t="inlineStr">
        <is>
          <t>iato-mcp</t>
        </is>
      </c>
    </row>
    <row r="16">
      <c r="A16" s="17" t="inlineStr">
        <is>
          <t>siteskite</t>
        </is>
      </c>
    </row>
    <row r="17">
      <c r="A17" s="17" t="inlineStr">
        <is>
          <t>invizo-mcp</t>
        </is>
      </c>
    </row>
    <row r="18">
      <c r="A18" s="17" t="inlineStr">
        <is>
          <t>ylabs-connector-for-wpwriter</t>
        </is>
      </c>
    </row>
    <row r="19">
      <c r="A19" s="17" t="inlineStr">
        <is>
          <t>ylabs-ai-assistant-connector</t>
        </is>
      </c>
    </row>
    <row r="20">
      <c r="A20" s="17" t="inlineStr">
        <is>
          <t>albert-ai-butler</t>
        </is>
      </c>
    </row>
    <row r="21">
      <c r="A21" s="17" t="inlineStr">
        <is>
          <t>acrossai-mcp-manager</t>
        </is>
      </c>
    </row>
    <row r="22">
      <c r="A22" s="17" t="inlineStr">
        <is>
          <t>sokket-site-connector-for-mcp</t>
        </is>
      </c>
    </row>
    <row r="23">
      <c r="A23" s="17" t="inlineStr">
        <is>
          <t>webo-mcp</t>
        </is>
      </c>
    </row>
    <row r="24">
      <c r="A24" s="17" t="inlineStr">
        <is>
          <t>alphabridge-mcp</t>
        </is>
      </c>
    </row>
    <row r="25">
      <c r="A25" s="17" t="inlineStr">
        <is>
          <t>track-debug</t>
        </is>
      </c>
    </row>
    <row r="26">
      <c r="A26" s="17" t="inlineStr">
        <is>
          <t>admindra-mcp</t>
        </is>
      </c>
    </row>
    <row r="27">
      <c r="A27" s="17" t="inlineStr">
        <is>
          <t>devcubic-ai-bridge-for-mcp</t>
        </is>
      </c>
    </row>
    <row r="28">
      <c r="A28" s="17" t="inlineStr">
        <is>
          <t>abilities-bridge</t>
        </is>
      </c>
    </row>
    <row r="29">
      <c r="A29" s="17" t="inlineStr">
        <is>
          <t>strifebridge-mcp</t>
        </is>
      </c>
    </row>
    <row r="30">
      <c r="A30" s="17" t="inlineStr">
        <is>
          <t>bcs-mcp-manager</t>
        </is>
      </c>
    </row>
    <row r="31">
      <c r="A31" s="17" t="inlineStr">
        <is>
          <t>saddle</t>
        </is>
      </c>
    </row>
    <row r="32">
      <c r="A32" s="17" t="inlineStr">
        <is>
          <t>acadium-agent-publisher</t>
        </is>
      </c>
    </row>
    <row r="33">
      <c r="A33" s="17" t="inlineStr">
        <is>
          <t>aicom</t>
        </is>
      </c>
    </row>
    <row r="34">
      <c r="A34" s="17" t="inlineStr">
        <is>
          <t>rectus-content-access-for-mcp</t>
        </is>
      </c>
    </row>
    <row r="35">
      <c r="A35" s="17" t="inlineStr">
        <is>
          <t>mcp-for-woocommerce</t>
        </is>
      </c>
    </row>
    <row r="36">
      <c r="A36" s="17" t="inlineStr">
        <is>
          <t>counterhand-mcp-for-woocommerce</t>
        </is>
      </c>
    </row>
    <row r="37">
      <c r="A37" s="17" t="inlineStr">
        <is>
          <t>publishio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2026-10-19T14:10:50Z</dcterms:created>
  <dcterms:modified xsi:type="dcterms:W3CDTF">2026-10-19T14:10:50Z</dcterms:modified>
</cp:coreProperties>
</file>