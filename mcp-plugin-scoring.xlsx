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ores" sheetId="2" state="visible" r:id="rId4"/>
    <sheet name="Tasks" sheetId="3" state="visible" r:id="rId5"/>
    <sheet name="Plugins" sheetId="4" state="visible" r:id="rId6"/>
    <sheet name="Weigh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<sst xmlns="http://schemas.openxmlformats.org/spreadsheetml/2006/main" count="549" uniqueCount="251">
  <si>
    <t xml:space="preserve">WordCamp Joburg: MCP plugin comparison scoring sheet</t>
  </si>
  <si>
    <t xml:space="preserve">How to use</t>
  </si>
  <si>
    <t xml:space="preserve">1. For each plugin, install it on a clean site (setup_test_sites.sh), connect Claude Desktop, then work through the Tasks sheet (Pass / Partial / Fail).</t>
  </si>
  <si>
    <t xml:space="preserve">2. On the Scores sheet, fill the yellow cells with a score from 0 to 5 (blue text = your input). Grey-header columns marked (auto) are formulas, so leave them alone.</t>
  </si>
  <si>
    <t xml:space="preserve">3. Set 'Security hard fail?' to Y for a serious security failure (no auth, everything exposed by default). The plugin's total is then capped (Weights sheet).</t>
  </si>
  <si>
    <t xml:space="preserve">4. Rank appears once both Setup and Security have at least one score. Weights, thresholds and the cap live on the Weights sheet.</t>
  </si>
  <si>
    <t xml:space="preserve">Scoring scale (0-5)</t>
  </si>
  <si>
    <t xml:space="preserve">0 = missing or broken   1 = poor   2 = weak   3 = acceptable   4 = good   5 = excellent</t>
  </si>
  <si>
    <t xml:space="preserve">Example: 'In-plugin connection guide' = 5 if the plugin shows a ready-to-copy Claude Desktop config; 3 if there is generic text only; 0 if nothing.</t>
  </si>
  <si>
    <t xml:space="preserve">Colour key</t>
  </si>
  <si>
    <t xml:space="preserve">Blue text on yellow = input.   Black = formula or fixed data.   Weights and thresholds on the Weights sheet are inputs too.</t>
  </si>
  <si>
    <t xml:space="preserve">Sheets</t>
  </si>
  <si>
    <t xml:space="preserve">Weights: area weights (must total 100), hard-fail cap, thresholds for the auto-scored columns.</t>
  </si>
  <si>
    <t xml:space="preserve">Plugins: WordPress.org data for each plugin (fetched 2026-10-15), plus the mcp-adapter baseline reference row.</t>
  </si>
  <si>
    <t xml:space="preserve">Scores: one row per plugin; weighted total out of 100 and rank.</t>
  </si>
  <si>
    <t xml:space="preserve">Tasks: the 8 standard tasks, run via Claude Desktop, per plugin.</t>
  </si>
  <si>
    <t xml:space="preserve">Baseline</t>
  </si>
  <si>
    <t xml:space="preserve">mcp-adapter is the official WordPress MCP Adapter. It is listed on the Plugins sheet as the reference point for comparison and is not scored or ranked.</t>
  </si>
  <si>
    <t xml:space="preserve">Lanes</t>
  </si>
  <si>
    <t xml:space="preserve">established = 100+ installs.  challenger = under 100 installs, hand-picked after a pre-screen, so newer plugins get a fair chance. Both lanes are scored identically.</t>
  </si>
  <si>
    <t xml:space="preserve">Weighted scores (out of 100)</t>
  </si>
  <si>
    <t xml:space="preserve">Yellow cells: score 0-5. Area score = average of that area's sub-scores / 5 x area weight. Blank sub-scores are ignored.</t>
  </si>
  <si>
    <t xml:space="preserve">Setup &amp; connection</t>
  </si>
  <si>
    <t xml:space="preserve">Security &amp; auth</t>
  </si>
  <si>
    <t xml:space="preserve">Capabilities</t>
  </si>
  <si>
    <t xml:space="preserve">Quality &amp; maintenance</t>
  </si>
  <si>
    <t xml:space="preserve">Lane</t>
  </si>
  <si>
    <t xml:space="preserve">Slug</t>
  </si>
  <si>
    <t xml:space="preserve">Name</t>
  </si>
  <si>
    <t xml:space="preserve">Time to first tool call</t>
  </si>
  <si>
    <t xml:space="preserve">Steps needed / ease</t>
  </si>
  <si>
    <t xml:space="preserve">Works in Claude Desktop (no terminal)</t>
  </si>
  <si>
    <t xml:space="preserve">In-plugin connection guide</t>
  </si>
  <si>
    <t xml:space="preserve">Error messages</t>
  </si>
  <si>
    <t xml:space="preserve">Area score</t>
  </si>
  <si>
    <t xml:space="preserve">Auth method</t>
  </si>
  <si>
    <t xml:space="preserve">Permission scoping</t>
  </si>
  <si>
    <t xml:space="preserve">Read-only mode</t>
  </si>
  <si>
    <t xml:space="preserve">Destructive-action confirmation</t>
  </si>
  <si>
    <t xml:space="preserve">Audit log</t>
  </si>
  <si>
    <t xml:space="preserve">Safe defaults</t>
  </si>
  <si>
    <t xml:space="preserve">Task pass rate (auto)</t>
  </si>
  <si>
    <t xml:space="preserve">Breadth of tools</t>
  </si>
  <si>
    <t xml:space="preserve">Output quality</t>
  </si>
  <si>
    <t xml:space="preserve">Update recency (auto)</t>
  </si>
  <si>
    <t xml:space="preserve">Adoption (auto)</t>
  </si>
  <si>
    <t xml:space="preserve">Rating (auto)</t>
  </si>
  <si>
    <t xml:space="preserve">WP compatibility (auto)</t>
  </si>
  <si>
    <t xml:space="preserve">Abilities API / standards</t>
  </si>
  <si>
    <t xml:space="preserve">Docs &amp; support</t>
  </si>
  <si>
    <t xml:space="preserve">Security hard fail? (Y/N)</t>
  </si>
  <si>
    <t xml:space="preserve">Raw total</t>
  </si>
  <si>
    <t xml:space="preserve">Final total</t>
  </si>
  <si>
    <t xml:space="preserve">Rank</t>
  </si>
  <si>
    <t xml:space="preserve">Notes</t>
  </si>
  <si>
    <t xml:space="preserve">established</t>
  </si>
  <si>
    <t xml:space="preserve">ai-engine</t>
  </si>
  <si>
    <t xml:space="preserve">AI Engine – The Chatbot, AI Framework &amp; MCP for WordPress</t>
  </si>
  <si>
    <t xml:space="preserve">vibe-ai</t>
  </si>
  <si>
    <t xml:space="preserve">WPVibe – MCP Server for WordPress, works with Claude, ChatGPT &amp; other AI MCP agents</t>
  </si>
  <si>
    <t xml:space="preserve">easy-mcp-ai</t>
  </si>
  <si>
    <t xml:space="preserve">Easy MCP AI – Connect Claude to WordPress: MCP Server for ChatGPT &amp; AI Agents</t>
  </si>
  <si>
    <t xml:space="preserve">royal-mcp</t>
  </si>
  <si>
    <t xml:space="preserve">Royal MCP – Secure AI Connector for Claude, ChatGPT &amp; any LLM via MCP</t>
  </si>
  <si>
    <t xml:space="preserve">miniorange-secure-mcp-server</t>
  </si>
  <si>
    <t xml:space="preserve">Secure MCP Server for Claude, ChatGPT, Gemini and other AI Agents</t>
  </si>
  <si>
    <t xml:space="preserve">wsp-mcp-ai-agents-connector</t>
  </si>
  <si>
    <t xml:space="preserve">WSP MCP – Free MCP Plugin for WordPress: Connect Claude, ChatGPT &amp; AI Agents</t>
  </si>
  <si>
    <t xml:space="preserve">cowboy-mcp</t>
  </si>
  <si>
    <t xml:space="preserve">Cowboy MCP – Free MCP Server with Undo for Claude &amp; ChatGPT</t>
  </si>
  <si>
    <t xml:space="preserve">stifli-flex-mcp</t>
  </si>
  <si>
    <t xml:space="preserve">Flex MCP – Connect ChatGPT, Claude and AI agents with MCP, Undo, Abilities and Tools.</t>
  </si>
  <si>
    <t xml:space="preserve">agent-abilities-for-mcp</t>
  </si>
  <si>
    <t xml:space="preserve">Agent Abilities for MCP – Connect Claude and ChatGPT with Permission Controls and Audit Log</t>
  </si>
  <si>
    <t xml:space="preserve">diviops-agent</t>
  </si>
  <si>
    <t xml:space="preserve">DiviOps Agent</t>
  </si>
  <si>
    <t xml:space="preserve">ai-workflow-automation-ai-agent-hub</t>
  </si>
  <si>
    <t xml:space="preserve">MCP Server for WordPress – Connect Claude, ChatGPT &amp; Gemini | AtlasMCP</t>
  </si>
  <si>
    <t xml:space="preserve">nibwp</t>
  </si>
  <si>
    <t xml:space="preserve">NIBWP – Self-Hosted MCP Server – Connect Claude, ChatGPT, Cursor &amp; Any AI Agent via MCP</t>
  </si>
  <si>
    <t xml:space="preserve">mountdev-ai-mcp-connector</t>
  </si>
  <si>
    <t xml:space="preserve">MountDev AI MCP Connector for WordPress</t>
  </si>
  <si>
    <t xml:space="preserve">iato-mcp</t>
  </si>
  <si>
    <t xml:space="preserve">IATO MCP</t>
  </si>
  <si>
    <t xml:space="preserve">siteskite</t>
  </si>
  <si>
    <t xml:space="preserve">SiteSkite – Secure MCP &amp; AI WebOps. Connect ChatGPT, Claude, or Any AI Agent via MCP</t>
  </si>
  <si>
    <t xml:space="preserve">invizo-mcp</t>
  </si>
  <si>
    <t xml:space="preserve">Invizo MCP – Secure AI Connector for Claude, Codex, Cursor and WooCommerce</t>
  </si>
  <si>
    <t xml:space="preserve">ylabs-connector-for-wpwriter</t>
  </si>
  <si>
    <t xml:space="preserve">WPWriter – Manage WordPress from ChatGPT or Claude</t>
  </si>
  <si>
    <t xml:space="preserve">ylabs-ai-assistant-connector</t>
  </si>
  <si>
    <t xml:space="preserve">YLabs AI Assistant Connector</t>
  </si>
  <si>
    <t xml:space="preserve">challenger</t>
  </si>
  <si>
    <t xml:space="preserve">albert-ai-butler</t>
  </si>
  <si>
    <t xml:space="preserve">Albert – Connect AI Assistants to WordPress</t>
  </si>
  <si>
    <t xml:space="preserve">acrossai-mcp-manager</t>
  </si>
  <si>
    <t xml:space="preserve">AcrossAI MCP Manager – WordPress MCP Server &amp; Admin for MCP Adapter, Claude &amp; ChatGPT</t>
  </si>
  <si>
    <t xml:space="preserve">sokket-site-connector-for-mcp</t>
  </si>
  <si>
    <t xml:space="preserve">Sokket – MCP Server: Connect Claude, ChatGPT, Cursor &amp; Any AI Agent to WordPress</t>
  </si>
  <si>
    <t xml:space="preserve">webo-mcp</t>
  </si>
  <si>
    <t xml:space="preserve">WEBO MCP</t>
  </si>
  <si>
    <t xml:space="preserve">alphabridge-mcp</t>
  </si>
  <si>
    <t xml:space="preserve">AlphaBridge MCP – Connect Claude and ChatGPT to WordPress</t>
  </si>
  <si>
    <t xml:space="preserve">track-debug</t>
  </si>
  <si>
    <t xml:space="preserve">Track Debug – WordPress MCP Server: Connect Claude, ChatGPT &amp; AI Agents</t>
  </si>
  <si>
    <t xml:space="preserve">admindra-mcp</t>
  </si>
  <si>
    <t xml:space="preserve">AdMindra MCP – AI Connector for ChatGPT &amp; Claude</t>
  </si>
  <si>
    <t xml:space="preserve">devcubic-ai-bridge-for-mcp</t>
  </si>
  <si>
    <t xml:space="preserve">DevCubic AI Bridge for MCP</t>
  </si>
  <si>
    <t xml:space="preserve">abilities-bridge</t>
  </si>
  <si>
    <t xml:space="preserve">Abilities Bridge</t>
  </si>
  <si>
    <t xml:space="preserve">strifebridge-mcp</t>
  </si>
  <si>
    <t xml:space="preserve">StrifeBridge MCP</t>
  </si>
  <si>
    <t xml:space="preserve">bcs-mcp-manager</t>
  </si>
  <si>
    <t xml:space="preserve">ByteCoreStack – MCP Connector for AI Tools</t>
  </si>
  <si>
    <t xml:space="preserve">saddle</t>
  </si>
  <si>
    <t xml:space="preserve">Saddle – AI Site Control (MCP)</t>
  </si>
  <si>
    <t xml:space="preserve">acadium-agent-publisher</t>
  </si>
  <si>
    <t xml:space="preserve">Acadium AI Site Editor</t>
  </si>
  <si>
    <t xml:space="preserve">aicom</t>
  </si>
  <si>
    <t xml:space="preserve">AICOM – AI Commander</t>
  </si>
  <si>
    <t xml:space="preserve">rectus-content-access-for-mcp</t>
  </si>
  <si>
    <t xml:space="preserve">Rectus Content Access for MCP</t>
  </si>
  <si>
    <t xml:space="preserve">mcp-for-woocommerce</t>
  </si>
  <si>
    <t xml:space="preserve">MCP for WooCommerce</t>
  </si>
  <si>
    <t xml:space="preserve">counterhand-mcp-for-woocommerce</t>
  </si>
  <si>
    <t xml:space="preserve">Counterhand MCP for WooCommerce — AI Agent Server for Claude, ChatGPT &amp; Cursor</t>
  </si>
  <si>
    <t xml:space="preserve">publishio</t>
  </si>
  <si>
    <t xml:space="preserve">Publishio – Build Pages &amp; Posts with ChatGPT and Claude using MCP</t>
  </si>
  <si>
    <t xml:space="preserve">Standard task results (run via Claude Desktop)</t>
  </si>
  <si>
    <t xml:space="preserve">Enter Pass, Partial or Fail. Partial counts as half. T7 and T8 test safety behaviour: Pass = confirmed/logged (T7) or correctly blocked (T8).</t>
  </si>
  <si>
    <t xml:space="preserve">T1 List 5 most recent posts</t>
  </si>
  <si>
    <t xml:space="preserve">T2 Create draft post (heading, paragraph, image)</t>
  </si>
  <si>
    <t xml:space="preserve">T3 Edit an existing post's title and content</t>
  </si>
  <si>
    <t xml:space="preserve">T4 Upload an image to the media library</t>
  </si>
  <si>
    <t xml:space="preserve">T5 List installed plugins and versions</t>
  </si>
  <si>
    <t xml:space="preserve">T6 Change a site setting (tagline)</t>
  </si>
  <si>
    <t xml:space="preserve">T7 Delete a post: confirmed and logged?</t>
  </si>
  <si>
    <t xml:space="preserve">T8 Disallowed action: blocked?</t>
  </si>
  <si>
    <t xml:space="preserve">Pass rate</t>
  </si>
  <si>
    <t xml:space="preserve">Tasks run</t>
  </si>
  <si>
    <t xml:space="preserve">Shortlisted plugins (WordPress.org data)</t>
  </si>
  <si>
    <t xml:space="preserve">Data fetched 2026-10-15. Rating is 0-100 as returned by the API. The baseline row is a reference and is not scored.</t>
  </si>
  <si>
    <t xml:space="preserve">Active installs</t>
  </si>
  <si>
    <t xml:space="preserve">Last updated</t>
  </si>
  <si>
    <t xml:space="preserve">Days since update</t>
  </si>
  <si>
    <t xml:space="preserve">Rating (0-100)</t>
  </si>
  <si>
    <t xml:space="preserve">Num ratings</t>
  </si>
  <si>
    <t xml:space="preserve">Tested up to current WP?</t>
  </si>
  <si>
    <t xml:space="preserve">Mentions Abilities API / MCP Adapter?</t>
  </si>
  <si>
    <t xml:space="preserve">URL</t>
  </si>
  <si>
    <t xml:space="preserve">Short description</t>
  </si>
  <si>
    <t xml:space="preserve">Y</t>
  </si>
  <si>
    <t xml:space="preserve">https://wordpress.org/plugins/ai-engine/</t>
  </si>
  <si>
    <t xml:space="preserve">The AI chatbot, AI agent and MCP server for WordPress. Connect OpenAI, Claude, Gemini and more to chat, write, search and automate your site.</t>
  </si>
  <si>
    <t xml:space="preserve">https://wordpress.org/plugins/vibe-ai/</t>
  </si>
  <si>
    <t xml:space="preserve">MCP server for WordPress. Connect Claude, ChatGPT, Cursor or any MCP client to manage content, themes and settings, with approvals.</t>
  </si>
  <si>
    <t xml:space="preserve">https://wordpress.org/plugins/easy-mcp-ai/</t>
  </si>
  <si>
    <t xml:space="preserve">Secure WordPress MCP server: we never see your data. Connect Claude, ChatGPT &amp; AI agents to WordPress. 280+ tools for WooCommerce, SEO &amp; GA4. Free.</t>
  </si>
  <si>
    <t xml:space="preserve">https://wordpress.org/plugins/royal-mcp/</t>
  </si>
  <si>
    <t xml:space="preserve">200+ MCP tools. OAuth 2.0 + WebMCP. Connect Claude, ChatGPT, Perplexity, Gemini or any MCP agent to your WordPress site. 100% self-hosted.</t>
  </si>
  <si>
    <t xml:space="preserve">https://wordpress.org/plugins/miniorange-secure-mcp-server/</t>
  </si>
  <si>
    <t xml:space="preserve">The #1 secure WordPress MCP server for connecting Claude, ChatGPT, &amp; AI agents (MCP Clients) with 400+ tools for WooCommerce, SEO, Elementor, audi …</t>
  </si>
  <si>
    <t xml:space="preserve">N</t>
  </si>
  <si>
    <t xml:space="preserve">https://wordpress.org/plugins/wsp-mcp-ai-agents-connector/</t>
  </si>
  <si>
    <t xml:space="preserve">Free MCP plugin for WordPress. Connect Claude, ChatGPT, Cursor or any AI agent and manage your site by chat. 200+ tools, no coding needed.</t>
  </si>
  <si>
    <t xml:space="preserve">https://wordpress.org/plugins/cowboy-mcp/</t>
  </si>
  <si>
    <t xml:space="preserve">Connect Claude, ChatGPT, Gemini, Cursor &amp; any AI agent to your site. Free, secure WordPress MCP server (Model Context Protocol). Undo any change.</t>
  </si>
  <si>
    <t xml:space="preserve">https://wordpress.org/plugins/stifli-flex-mcp/</t>
  </si>
  <si>
    <t xml:space="preserve">The most secure MCP Server for WordPress with Undo, plus AI Copilot &amp; Chat Agent. ChatGPT, Claude, Gemini, OpenRouter &amp; Mistral.</t>
  </si>
  <si>
    <t xml:space="preserve">https://wordpress.org/plugins/agent-abilities-for-mcp/</t>
  </si>
  <si>
    <t xml:space="preserve">WordPress MCP server for Claude and ChatGPT. Run one site or many with limited access, read-only mode, drafts you approve and an audit log.</t>
  </si>
  <si>
    <t xml:space="preserve">https://wordpress.org/plugins/diviops-agent/</t>
  </si>
  <si>
    <t xml:space="preserve">Connect Codex or Claude to WordPress through MCP. Build and improve editable Divi 5 pages with the DiviOps AI harness.</t>
  </si>
  <si>
    <t xml:space="preserve">https://wordpress.org/plugins/ai-workflow-automation-ai-agent-hub/</t>
  </si>
  <si>
    <t xml:space="preserve">Secure MCP server for WordPress. Connect Claude, ChatGPT &amp; Gemini via OAuth 2.1. Unlimited AI abilities, WooCommerce tools, RBAC, editor AI.</t>
  </si>
  <si>
    <t xml:space="preserve">https://wordpress.org/plugins/nibwp/</t>
  </si>
  <si>
    <t xml:space="preserve">Self-hosted WordPress MCP server. Connect Claude, ChatGPT, Cursor &amp; any AI agent over MCP. Built on the core Abilities API - no relay, no account.</t>
  </si>
  <si>
    <t xml:space="preserve">https://wordpress.org/plugins/mountdev-ai-mcp-connector/</t>
  </si>
  <si>
    <t xml:space="preserve">Connect ChatGPT or Claude to WordPress with one address. Edit posts, pages and media, and use any plugin that registers WordPress Abilities.</t>
  </si>
  <si>
    <t xml:space="preserve">https://wordpress.org/plugins/iato-mcp/</t>
  </si>
  <si>
    <t xml:space="preserve">Exposes an MCP server from any self-hosted WordPress site, enabling AI agents like Claude to audit and fix your site in a single workflow.</t>
  </si>
  <si>
    <t xml:space="preserve">https://wordpress.org/plugins/siteskite/</t>
  </si>
  <si>
    <t xml:space="preserve">Secure WordPress MCP for Claude and ChatGPT, AI Studio and full WebOps, Backups, Sandbox &amp; Fleet Control.</t>
  </si>
  <si>
    <t xml:space="preserve">https://wordpress.org/plugins/invizo-mcp/</t>
  </si>
  <si>
    <t xml:space="preserve">Secure WordPress MCP server for Claude, ChatGPT, Codex &amp; Cursor. Manage posts, WooCommerce, SEO, media, users, builders, LMS &amp; events.</t>
  </si>
  <si>
    <t xml:space="preserve">https://wordpress.org/plugins/ylabs-connector-for-wpwriter/</t>
  </si>
  <si>
    <t xml:space="preserve">Connect WordPress to WPWriter. Manage posts, SEO and media from ChatGPT or Claude. A WPWriter account is required.</t>
  </si>
  <si>
    <t xml:space="preserve">https://wordpress.org/plugins/ylabs-ai-assistant-connector/</t>
  </si>
  <si>
    <t xml:space="preserve">Connect your WordPress site to AI assistants like ChatGPT and Claude via WP Agent — SEO meta writing, site overview, and reliable authentication inclu …</t>
  </si>
  <si>
    <t xml:space="preserve">https://wordpress.org/plugins/albert-ai-butler/</t>
  </si>
  <si>
    <t xml:space="preserve">ChatGPT and Claude, connected in three steps. Your AI assistant knows your site, writes real blocks, and only does what you allow</t>
  </si>
  <si>
    <t xml:space="preserve">https://wordpress.org/plugins/acrossai-mcp-manager/</t>
  </si>
  <si>
    <t xml:space="preserve">WordPress MCP server with 357+ abilities. Connect Claude, ChatGPT, Gemini, Grok &amp; Cursor in one click. Built on MCP Adapter. No relay.</t>
  </si>
  <si>
    <t xml:space="preserve">https://wordpress.org/plugins/sokket-site-connector-for-mcp/</t>
  </si>
  <si>
    <t xml:space="preserve">Self-hosted MCP server for WordPress. Connect Claude, ChatGPT, Cursor &amp; any AI agent to your site — with the tools and permissions you control.</t>
  </si>
  <si>
    <t xml:space="preserve">https://wordpress.org/plugins/webo-mcp/</t>
  </si>
  <si>
    <t xml:space="preserve">WordPress MCP server for AI agents and automation, with JSON-RPC tools over REST for Claude, Cursor, n8n, and MCP clients.</t>
  </si>
  <si>
    <t xml:space="preserve">https://wordpress.org/plugins/alphabridge-mcp/</t>
  </si>
  <si>
    <t xml:space="preserve">Free MCP server for WordPress. Claude and ChatGPT write posts, add images and answer comments on your site. You decide when they may write.</t>
  </si>
  <si>
    <t xml:space="preserve">https://wordpress.org/plugins/track-debug/</t>
  </si>
  <si>
    <t xml:space="preserve">Connect WordPress to Claude, Cursor, Codex and other MCP-compatible AI clients to read site data and manage content.</t>
  </si>
  <si>
    <t xml:space="preserve">https://wordpress.org/plugins/admindra-mcp/</t>
  </si>
  <si>
    <t xml:space="preserve">Let ChatGPT or Claude check, explain and edit the content of your site over a secure MCP server with OAuth. Content edits only when you allow them.</t>
  </si>
  <si>
    <t xml:space="preserve">https://wordpress.org/plugins/devcubic-ai-bridge-for-mcp/</t>
  </si>
  <si>
    <t xml:space="preserve">Turn your WordPress site into an MCP server so any logged-in user can connect an AI client with role-based, capability-limited access.</t>
  </si>
  <si>
    <t xml:space="preserve">https://wordpress.org/plugins/abilities-bridge/</t>
  </si>
  <si>
    <t xml:space="preserve">MCP server for WordPress. Connect Claude AI or OpenAI to execute WordPress Abilities with configurable permissions.</t>
  </si>
  <si>
    <t xml:space="preserve">https://wordpress.org/plugins/strifebridge-mcp/</t>
  </si>
  <si>
    <t xml:space="preserve">Connect your WordPress site to Claude and other AI assistants through the Model Context Protocol. Manage posts, media, menus, and more in plain Englis …</t>
  </si>
  <si>
    <t xml:space="preserve">https://wordpress.org/plugins/bcs-mcp-manager/</t>
  </si>
  <si>
    <t xml:space="preserve">Connect Claude, ChatGPT and other AI clients to WordPress with MCP, OAuth 2.0, and 335+ tools for content, WooCommerce and SEO.</t>
  </si>
  <si>
    <t xml:space="preserve">https://wordpress.org/plugins/saddle/</t>
  </si>
  <si>
    <t xml:space="preserve">Let Claude, ChatGPT and Cursor work on your WordPress site. Your AI starts read-only, and every delete asks first.</t>
  </si>
  <si>
    <t xml:space="preserve">https://wordpress.org/plugins/acadium-agent-publisher/</t>
  </si>
  <si>
    <t xml:space="preserve">Let Claude edit your site: posts, pages, menus, synced patterns, categories, images and redirects, as far as each person's role allows.</t>
  </si>
  <si>
    <t xml:space="preserve">https://wordpress.org/plugins/aicom/</t>
  </si>
  <si>
    <t xml:space="preserve">Use your AI subscription to manage WordPress: create Elementor pages, update content, automate tasks, and stay fully in control.</t>
  </si>
  <si>
    <t xml:space="preserve">https://wordpress.org/plugins/rectus-content-access-for-mcp/</t>
  </si>
  <si>
    <t xml:space="preserve">Connect MCP clients to WordPress posts, pages, custom post types, taxonomies, and media with configurable access.</t>
  </si>
  <si>
    <t xml:space="preserve">https://wordpress.org/plugins/mcp-for-woocommerce/</t>
  </si>
  <si>
    <t xml:space="preserve">AI integration plugin connecting WooCommerce &amp; WordPress with Model Context Protocol for seamless AI assistant interactions.</t>
  </si>
  <si>
    <t xml:space="preserve">https://wordpress.org/plugins/counterhand-mcp-for-woocommerce/</t>
  </si>
  <si>
    <t xml:space="preserve">The WooCommerce-native MCP server. Let Claude, ChatGPT and Cursor read sales, manage inventory and orders as an AI agent — with OAuth consent.</t>
  </si>
  <si>
    <t xml:space="preserve">https://wordpress.org/plugins/publishio/</t>
  </si>
  <si>
    <t xml:space="preserve">AI publishing that follows your design system. Connect ChatGPT or Claude to WordPress and build pages and posts that match your patterns and theme.</t>
  </si>
  <si>
    <t xml:space="preserve">baseline</t>
  </si>
  <si>
    <t xml:space="preserve">mcp-adapter</t>
  </si>
  <si>
    <t xml:space="preserve">MCP Adapter</t>
  </si>
  <si>
    <t xml:space="preserve">https://wordpress.org/plugins/mcp-adapter/</t>
  </si>
  <si>
    <t xml:space="preserve">Expose WordPress abilities as Model Context Protocol (MCP) tools, resources, and prompts for AI agents.</t>
  </si>
  <si>
    <t xml:space="preserve">Weights and thresholds</t>
  </si>
  <si>
    <t xml:space="preserve">Data as of</t>
  </si>
  <si>
    <t xml:space="preserve">Date the WordPress.org data was fetched; used for 'days since update'.</t>
  </si>
  <si>
    <t xml:space="preserve">Area</t>
  </si>
  <si>
    <t xml:space="preserve">Weight</t>
  </si>
  <si>
    <t xml:space="preserve">Total</t>
  </si>
  <si>
    <t xml:space="preserve">Security hard-fail cap</t>
  </si>
  <si>
    <t xml:space="preserve">Max total score if 'Security hard fail?' = Y</t>
  </si>
  <si>
    <t xml:space="preserve">Assumption: set by the presenter (starting point, adjust as you like).</t>
  </si>
  <si>
    <t xml:space="preserve">Update recency thresholds (days since last update, for 5 / 4 / 3 / 2 points; older = 1)</t>
  </si>
  <si>
    <t xml:space="preserve">5 points if updated within (days)</t>
  </si>
  <si>
    <t xml:space="preserve">4 points if updated within (days)</t>
  </si>
  <si>
    <t xml:space="preserve">3 points if updated within (days)</t>
  </si>
  <si>
    <t xml:space="preserve">2 points if updated within (days)</t>
  </si>
  <si>
    <t xml:space="preserve">Adoption thresholds (active installs, for 5 / 4 / 3 / 2 points; fewer = 1)</t>
  </si>
  <si>
    <t xml:space="preserve">5 points if installs at least</t>
  </si>
  <si>
    <t xml:space="preserve">4 points if installs at least</t>
  </si>
  <si>
    <t xml:space="preserve">3 points if installs at least</t>
  </si>
  <si>
    <t xml:space="preserve">2 points if installs at least</t>
  </si>
  <si>
    <t xml:space="preserve">Note: adoption is one of six Quality sub-scores (15% of the total), so low installs cost a challenger little.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</si>
</sst>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General"/>
    <numFmt numFmtId="167" formatCode="0%"/>
    <numFmt numFmtId="168" formatCode="#,##0"/>
    <numFmt numFmtId="169" formatCode="yyyy\-mm\-dd"/>
    <numFmt numFmtId="170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C0504D"/>
        <bgColor rgb="FF993366"/>
      </patternFill>
    </fill>
    <fill>
      <patternFill patternType="solid">
        <fgColor rgb="FF548235"/>
        <bgColor rgb="FF595959"/>
      </patternFill>
    </fill>
    <fill>
      <patternFill patternType="solid">
        <fgColor rgb="FF7F6000"/>
        <bgColor rgb="FF595959"/>
      </patternFill>
    </fill>
    <fill>
      <patternFill patternType="solid">
        <fgColor rgb="FF1F3A5F"/>
        <bgColor rgb="FF404040"/>
      </patternFill>
    </fill>
    <fill>
      <patternFill patternType="solid">
        <fgColor rgb="FF7F7F7F"/>
        <bgColor rgb="FF969696"/>
      </patternFill>
    </fill>
    <fill>
      <patternFill patternType="solid">
        <fgColor rgb="FF404040"/>
        <bgColor rgb="FF1F3A5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C0504D"/>
      <rgbColor rgb="FFFFF9DB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548235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ordpress.org/plugins/ai-engine/" TargetMode="External"/><Relationship Id="rId2" Type="http://schemas.openxmlformats.org/officeDocument/2006/relationships/hyperlink" Target="https://wordpress.org/plugins/vibe-ai/" TargetMode="External"/><Relationship Id="rId3" Type="http://schemas.openxmlformats.org/officeDocument/2006/relationships/hyperlink" Target="https://wordpress.org/plugins/easy-mcp-ai/" TargetMode="External"/><Relationship Id="rId4" Type="http://schemas.openxmlformats.org/officeDocument/2006/relationships/hyperlink" Target="https://wordpress.org/plugins/royal-mcp/" TargetMode="External"/><Relationship Id="rId5" Type="http://schemas.openxmlformats.org/officeDocument/2006/relationships/hyperlink" Target="https://wordpress.org/plugins/miniorange-secure-mcp-server/" TargetMode="External"/><Relationship Id="rId6" Type="http://schemas.openxmlformats.org/officeDocument/2006/relationships/hyperlink" Target="https://wordpress.org/plugins/wsp-mcp-ai-agents-connector/" TargetMode="External"/><Relationship Id="rId7" Type="http://schemas.openxmlformats.org/officeDocument/2006/relationships/hyperlink" Target="https://wordpress.org/plugins/cowboy-mcp/" TargetMode="External"/><Relationship Id="rId8" Type="http://schemas.openxmlformats.org/officeDocument/2006/relationships/hyperlink" Target="https://wordpress.org/plugins/stifli-flex-mcp/" TargetMode="External"/><Relationship Id="rId9" Type="http://schemas.openxmlformats.org/officeDocument/2006/relationships/hyperlink" Target="https://wordpress.org/plugins/agent-abilities-for-mcp/" TargetMode="External"/><Relationship Id="rId10" Type="http://schemas.openxmlformats.org/officeDocument/2006/relationships/hyperlink" Target="https://wordpress.org/plugins/diviops-agent/" TargetMode="External"/><Relationship Id="rId11" Type="http://schemas.openxmlformats.org/officeDocument/2006/relationships/hyperlink" Target="https://wordpress.org/plugins/ai-workflow-automation-ai-agent-hub/" TargetMode="External"/><Relationship Id="rId12" Type="http://schemas.openxmlformats.org/officeDocument/2006/relationships/hyperlink" Target="https://wordpress.org/plugins/nibwp/" TargetMode="External"/><Relationship Id="rId13" Type="http://schemas.openxmlformats.org/officeDocument/2006/relationships/hyperlink" Target="https://wordpress.org/plugins/mountdev-ai-mcp-connector/" TargetMode="External"/><Relationship Id="rId14" Type="http://schemas.openxmlformats.org/officeDocument/2006/relationships/hyperlink" Target="https://wordpress.org/plugins/iato-mcp/" TargetMode="External"/><Relationship Id="rId15" Type="http://schemas.openxmlformats.org/officeDocument/2006/relationships/hyperlink" Target="https://wordpress.org/plugins/siteskite/" TargetMode="External"/><Relationship Id="rId16" Type="http://schemas.openxmlformats.org/officeDocument/2006/relationships/hyperlink" Target="https://wordpress.org/plugins/invizo-mcp/" TargetMode="External"/><Relationship Id="rId17" Type="http://schemas.openxmlformats.org/officeDocument/2006/relationships/hyperlink" Target="https://wordpress.org/plugins/ylabs-connector-for-wpwriter/" TargetMode="External"/><Relationship Id="rId18" Type="http://schemas.openxmlformats.org/officeDocument/2006/relationships/hyperlink" Target="https://wordpress.org/plugins/ylabs-ai-assistant-connector/" TargetMode="External"/><Relationship Id="rId19" Type="http://schemas.openxmlformats.org/officeDocument/2006/relationships/hyperlink" Target="https://wordpress.org/plugins/albert-ai-butler/" TargetMode="External"/><Relationship Id="rId20" Type="http://schemas.openxmlformats.org/officeDocument/2006/relationships/hyperlink" Target="https://wordpress.org/plugins/acrossai-mcp-manager/" TargetMode="External"/><Relationship Id="rId21" Type="http://schemas.openxmlformats.org/officeDocument/2006/relationships/hyperlink" Target="https://wordpress.org/plugins/sokket-site-connector-for-mcp/" TargetMode="External"/><Relationship Id="rId22" Type="http://schemas.openxmlformats.org/officeDocument/2006/relationships/hyperlink" Target="https://wordpress.org/plugins/webo-mcp/" TargetMode="External"/><Relationship Id="rId23" Type="http://schemas.openxmlformats.org/officeDocument/2006/relationships/hyperlink" Target="https://wordpress.org/plugins/alphabridge-mcp/" TargetMode="External"/><Relationship Id="rId24" Type="http://schemas.openxmlformats.org/officeDocument/2006/relationships/hyperlink" Target="https://wordpress.org/plugins/track-debug/" TargetMode="External"/><Relationship Id="rId25" Type="http://schemas.openxmlformats.org/officeDocument/2006/relationships/hyperlink" Target="https://wordpress.org/plugins/admindra-mcp/" TargetMode="External"/><Relationship Id="rId26" Type="http://schemas.openxmlformats.org/officeDocument/2006/relationships/hyperlink" Target="https://wordpress.org/plugins/devcubic-ai-bridge-for-mcp/" TargetMode="External"/><Relationship Id="rId27" Type="http://schemas.openxmlformats.org/officeDocument/2006/relationships/hyperlink" Target="https://wordpress.org/plugins/abilities-bridge/" TargetMode="External"/><Relationship Id="rId28" Type="http://schemas.openxmlformats.org/officeDocument/2006/relationships/hyperlink" Target="https://wordpress.org/plugins/strifebridge-mcp/" TargetMode="External"/><Relationship Id="rId29" Type="http://schemas.openxmlformats.org/officeDocument/2006/relationships/hyperlink" Target="https://wordpress.org/plugins/bcs-mcp-manager/" TargetMode="External"/><Relationship Id="rId30" Type="http://schemas.openxmlformats.org/officeDocument/2006/relationships/hyperlink" Target="https://wordpress.org/plugins/saddle/" TargetMode="External"/><Relationship Id="rId31" Type="http://schemas.openxmlformats.org/officeDocument/2006/relationships/hyperlink" Target="https://wordpress.org/plugins/acadium-agent-publisher/" TargetMode="External"/><Relationship Id="rId32" Type="http://schemas.openxmlformats.org/officeDocument/2006/relationships/hyperlink" Target="https://wordpress.org/plugins/aicom/" TargetMode="External"/><Relationship Id="rId33" Type="http://schemas.openxmlformats.org/officeDocument/2006/relationships/hyperlink" Target="https://wordpress.org/plugins/rectus-content-access-for-mcp/" TargetMode="External"/><Relationship Id="rId34" Type="http://schemas.openxmlformats.org/officeDocument/2006/relationships/hyperlink" Target="https://wordpress.org/plugins/mcp-for-woocommerce/" TargetMode="External"/><Relationship Id="rId35" Type="http://schemas.openxmlformats.org/officeDocument/2006/relationships/hyperlink" Target="https://wordpress.org/plugins/counterhand-mcp-for-woocommerce/" TargetMode="External"/><Relationship Id="rId36" Type="http://schemas.openxmlformats.org/officeDocument/2006/relationships/hyperlink" Target="https://wordpress.org/plugins/publishio/" TargetMode="External"/><Relationship Id="rId37" Type="http://schemas.openxmlformats.org/officeDocument/2006/relationships/hyperlink" Target="https://wordpress.org/plugins/mcp-adapte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2" t="s">
        <v>18</v>
      </c>
    </row>
    <row r="26" customFormat="false" ht="15" hidden="false" customHeight="false" outlineLevel="0" collapsed="false">
      <c r="A26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31" min="4" style="0" width="13"/>
    <col collapsed="false" customWidth="true" hidden="false" outlineLevel="0" max="32" min="32" style="0" width="50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4" t="s">
        <v>21</v>
      </c>
    </row>
    <row r="3" customFormat="false" ht="23.85" hidden="false" customHeight="false" outlineLevel="0" collapsed="false">
      <c r="D3" s="5" t="s">
        <v>22</v>
      </c>
      <c r="E3" s="5"/>
      <c r="F3" s="5"/>
      <c r="G3" s="5"/>
      <c r="H3" s="5"/>
      <c r="I3" s="5"/>
      <c r="J3" s="6" t="s">
        <v>23</v>
      </c>
      <c r="K3" s="6"/>
      <c r="L3" s="6"/>
      <c r="M3" s="6"/>
      <c r="N3" s="6"/>
      <c r="O3" s="6"/>
      <c r="P3" s="6"/>
      <c r="Q3" s="7" t="s">
        <v>24</v>
      </c>
      <c r="R3" s="7"/>
      <c r="S3" s="7"/>
      <c r="T3" s="7"/>
      <c r="U3" s="8" t="s">
        <v>25</v>
      </c>
      <c r="V3" s="8"/>
      <c r="W3" s="8"/>
      <c r="X3" s="8"/>
      <c r="Y3" s="8"/>
      <c r="Z3" s="8"/>
      <c r="AA3" s="8"/>
    </row>
    <row r="4" customFormat="false" ht="66" hidden="false" customHeight="true" outlineLevel="0" collapsed="false">
      <c r="A4" s="9" t="s">
        <v>26</v>
      </c>
      <c r="B4" s="9" t="s">
        <v>27</v>
      </c>
      <c r="C4" s="9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6" t="s">
        <v>35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  <c r="P4" s="6" t="s">
        <v>34</v>
      </c>
      <c r="Q4" s="10" t="s">
        <v>41</v>
      </c>
      <c r="R4" s="7" t="s">
        <v>42</v>
      </c>
      <c r="S4" s="7" t="s">
        <v>43</v>
      </c>
      <c r="T4" s="7" t="s">
        <v>34</v>
      </c>
      <c r="U4" s="10" t="s">
        <v>44</v>
      </c>
      <c r="V4" s="10" t="s">
        <v>45</v>
      </c>
      <c r="W4" s="10" t="s">
        <v>46</v>
      </c>
      <c r="X4" s="10" t="s">
        <v>47</v>
      </c>
      <c r="Y4" s="8" t="s">
        <v>48</v>
      </c>
      <c r="Z4" s="8" t="s">
        <v>49</v>
      </c>
      <c r="AA4" s="8" t="s">
        <v>34</v>
      </c>
      <c r="AB4" s="11" t="s">
        <v>50</v>
      </c>
      <c r="AC4" s="11" t="s">
        <v>51</v>
      </c>
      <c r="AD4" s="11" t="s">
        <v>52</v>
      </c>
      <c r="AE4" s="11" t="s">
        <v>53</v>
      </c>
      <c r="AF4" s="11" t="s">
        <v>54</v>
      </c>
    </row>
    <row r="5" customFormat="false" ht="23.85" hidden="false" customHeight="false" outlineLevel="0" collapsed="false">
      <c r="A5" s="12" t="s">
        <v>55</v>
      </c>
      <c r="B5" s="12" t="s">
        <v>56</v>
      </c>
      <c r="C5" s="13" t="s">
        <v>57</v>
      </c>
      <c r="D5" s="14"/>
      <c r="E5" s="14"/>
      <c r="F5" s="14"/>
      <c r="G5" s="14"/>
      <c r="H5" s="14"/>
      <c r="I5" s="15" t="n">
        <f aca="false">IF(COUNT(D5:H5)=0,0,AVERAGE(D5:H5)/5*Weights!$B$6)</f>
        <v>0</v>
      </c>
      <c r="J5" s="14"/>
      <c r="K5" s="14"/>
      <c r="L5" s="14"/>
      <c r="M5" s="14"/>
      <c r="N5" s="14"/>
      <c r="O5" s="14"/>
      <c r="P5" s="15" t="n">
        <f aca="false">IF(COUNT(J5:O5)=0,0,AVERAGE(J5:O5)/5*Weights!$B$7)</f>
        <v>0</v>
      </c>
      <c r="Q5" s="16" t="str">
        <f aca="false">IFERROR(IF(INDEX(Tasks!$K$5:$K$40,MATCH($B5,Tasks!$A$5:$A$40,0))="","",INDEX(Tasks!$K$5:$K$40,MATCH($B5,Tasks!$A$5:$A$40,0))*5),"")</f>
        <v/>
      </c>
      <c r="R5" s="14"/>
      <c r="S5" s="14"/>
      <c r="T5" s="15" t="n">
        <f aca="false">IF(COUNT(Q5:S5)=0,0,AVERAGE(Q5:S5)/5*Weights!$B$8)</f>
        <v>0</v>
      </c>
      <c r="U5" s="17" t="n">
        <f aca="false">IF(INDEX(Plugins!$F$5:$F$41,MATCH($B5,Plugins!$B$5:$B$41,0))&lt;=Weights!$B$16,5,IF(INDEX(Plugins!$F$5:$F$41,MATCH($B5,Plugins!$B$5:$B$41,0))&lt;=Weights!$B$17,4,IF(INDEX(Plugins!$F$5:$F$41,MATCH($B5,Plugins!$B$5:$B$41,0))&lt;=Weights!$B$18,3,IF(INDEX(Plugins!$F$5:$F$41,MATCH($B5,Plugins!$B$5:$B$41,0))&lt;=Weights!$B$19,2,1))))</f>
        <v>5</v>
      </c>
      <c r="V5" s="17" t="n">
        <f aca="false">IF(INDEX(Plugins!$D$5:$D$41,MATCH($B5,Plugins!$B$5:$B$41,0))&gt;=Weights!$B$22,5,IF(INDEX(Plugins!$D$5:$D$41,MATCH($B5,Plugins!$B$5:$B$41,0))&gt;=Weights!$B$23,4,IF(INDEX(Plugins!$D$5:$D$41,MATCH($B5,Plugins!$B$5:$B$41,0))&gt;=Weights!$B$24,3,IF(INDEX(Plugins!$D$5:$D$41,MATCH($B5,Plugins!$B$5:$B$41,0))&gt;=Weights!$B$25,2,1))))</f>
        <v>5</v>
      </c>
      <c r="W5" s="16" t="n">
        <f aca="false">IF(INDEX(Plugins!$H$5:$H$41,MATCH($B5,Plugins!$B$5:$B$41,0))=0,"",INDEX(Plugins!$G$5:$G$41,MATCH($B5,Plugins!$B$5:$B$41,0))/20)</f>
        <v>4.9</v>
      </c>
      <c r="X5" s="17" t="n">
        <f aca="false">IF(INDEX(Plugins!$I$5:$I$41,MATCH($B5,Plugins!$B$5:$B$41,0))="Y",5,2)</f>
        <v>5</v>
      </c>
      <c r="Y5" s="14"/>
      <c r="Z5" s="14"/>
      <c r="AA5" s="15" t="n">
        <f aca="false">IF(COUNT(U5:Z5)=0,0,AVERAGE(U5:Z5)/5*Weights!$B$9)</f>
        <v>14.925</v>
      </c>
      <c r="AB5" s="18"/>
      <c r="AC5" s="19" t="n">
        <f aca="false">I5+P5+T5+AA5</f>
        <v>14.925</v>
      </c>
      <c r="AD5" s="19" t="n">
        <f aca="false">IF(AB5="Y",MIN(AC5,Weights!$B$13),AC5)</f>
        <v>14.925</v>
      </c>
      <c r="AE5" s="20" t="str">
        <f aca="false">IF(AND(COUNT(D5:H5)&gt;0,COUNT(J5:O5)&gt;0),RANK(AD5,$AD$5:$AD$40),"")</f>
        <v/>
      </c>
      <c r="AF5" s="21"/>
    </row>
    <row r="6" customFormat="false" ht="23.85" hidden="false" customHeight="false" outlineLevel="0" collapsed="false">
      <c r="A6" s="12" t="s">
        <v>55</v>
      </c>
      <c r="B6" s="12" t="s">
        <v>58</v>
      </c>
      <c r="C6" s="13" t="s">
        <v>59</v>
      </c>
      <c r="D6" s="14"/>
      <c r="E6" s="14"/>
      <c r="F6" s="14"/>
      <c r="G6" s="14"/>
      <c r="H6" s="14"/>
      <c r="I6" s="15" t="n">
        <f aca="false">IF(COUNT(D6:H6)=0,0,AVERAGE(D6:H6)/5*Weights!$B$6)</f>
        <v>0</v>
      </c>
      <c r="J6" s="14"/>
      <c r="K6" s="14"/>
      <c r="L6" s="14"/>
      <c r="M6" s="14"/>
      <c r="N6" s="14"/>
      <c r="O6" s="14"/>
      <c r="P6" s="15" t="n">
        <f aca="false">IF(COUNT(J6:O6)=0,0,AVERAGE(J6:O6)/5*Weights!$B$7)</f>
        <v>0</v>
      </c>
      <c r="Q6" s="16" t="str">
        <f aca="false">IFERROR(IF(INDEX(Tasks!$K$5:$K$40,MATCH($B6,Tasks!$A$5:$A$40,0))="","",INDEX(Tasks!$K$5:$K$40,MATCH($B6,Tasks!$A$5:$A$40,0))*5),"")</f>
        <v/>
      </c>
      <c r="R6" s="14"/>
      <c r="S6" s="14"/>
      <c r="T6" s="15" t="n">
        <f aca="false">IF(COUNT(Q6:S6)=0,0,AVERAGE(Q6:S6)/5*Weights!$B$8)</f>
        <v>0</v>
      </c>
      <c r="U6" s="17" t="n">
        <f aca="false">IF(INDEX(Plugins!$F$5:$F$41,MATCH($B6,Plugins!$B$5:$B$41,0))&lt;=Weights!$B$16,5,IF(INDEX(Plugins!$F$5:$F$41,MATCH($B6,Plugins!$B$5:$B$41,0))&lt;=Weights!$B$17,4,IF(INDEX(Plugins!$F$5:$F$41,MATCH($B6,Plugins!$B$5:$B$41,0))&lt;=Weights!$B$18,3,IF(INDEX(Plugins!$F$5:$F$41,MATCH($B6,Plugins!$B$5:$B$41,0))&lt;=Weights!$B$19,2,1))))</f>
        <v>5</v>
      </c>
      <c r="V6" s="17" t="n">
        <f aca="false">IF(INDEX(Plugins!$D$5:$D$41,MATCH($B6,Plugins!$B$5:$B$41,0))&gt;=Weights!$B$22,5,IF(INDEX(Plugins!$D$5:$D$41,MATCH($B6,Plugins!$B$5:$B$41,0))&gt;=Weights!$B$23,4,IF(INDEX(Plugins!$D$5:$D$41,MATCH($B6,Plugins!$B$5:$B$41,0))&gt;=Weights!$B$24,3,IF(INDEX(Plugins!$D$5:$D$41,MATCH($B6,Plugins!$B$5:$B$41,0))&gt;=Weights!$B$25,2,1))))</f>
        <v>5</v>
      </c>
      <c r="W6" s="16" t="n">
        <f aca="false">IF(INDEX(Plugins!$H$5:$H$41,MATCH($B6,Plugins!$B$5:$B$41,0))=0,"",INDEX(Plugins!$G$5:$G$41,MATCH($B6,Plugins!$B$5:$B$41,0))/20)</f>
        <v>5</v>
      </c>
      <c r="X6" s="17" t="n">
        <f aca="false">IF(INDEX(Plugins!$I$5:$I$41,MATCH($B6,Plugins!$B$5:$B$41,0))="Y",5,2)</f>
        <v>5</v>
      </c>
      <c r="Y6" s="14"/>
      <c r="Z6" s="14"/>
      <c r="AA6" s="15" t="n">
        <f aca="false">IF(COUNT(U6:Z6)=0,0,AVERAGE(U6:Z6)/5*Weights!$B$9)</f>
        <v>15</v>
      </c>
      <c r="AB6" s="18"/>
      <c r="AC6" s="19" t="n">
        <f aca="false">I6+P6+T6+AA6</f>
        <v>15</v>
      </c>
      <c r="AD6" s="19" t="n">
        <f aca="false">IF(AB6="Y",MIN(AC6,Weights!$B$13),AC6)</f>
        <v>15</v>
      </c>
      <c r="AE6" s="20" t="str">
        <f aca="false">IF(AND(COUNT(D6:H6)&gt;0,COUNT(J6:O6)&gt;0),RANK(AD6,$AD$5:$AD$40),"")</f>
        <v/>
      </c>
      <c r="AF6" s="21"/>
    </row>
    <row r="7" customFormat="false" ht="23.85" hidden="false" customHeight="false" outlineLevel="0" collapsed="false">
      <c r="A7" s="12" t="s">
        <v>55</v>
      </c>
      <c r="B7" s="12" t="s">
        <v>60</v>
      </c>
      <c r="C7" s="13" t="s">
        <v>61</v>
      </c>
      <c r="D7" s="14"/>
      <c r="E7" s="14"/>
      <c r="F7" s="14"/>
      <c r="G7" s="14"/>
      <c r="H7" s="14"/>
      <c r="I7" s="15" t="n">
        <f aca="false">IF(COUNT(D7:H7)=0,0,AVERAGE(D7:H7)/5*Weights!$B$6)</f>
        <v>0</v>
      </c>
      <c r="J7" s="14"/>
      <c r="K7" s="14"/>
      <c r="L7" s="14"/>
      <c r="M7" s="14"/>
      <c r="N7" s="14"/>
      <c r="O7" s="14"/>
      <c r="P7" s="15" t="n">
        <f aca="false">IF(COUNT(J7:O7)=0,0,AVERAGE(J7:O7)/5*Weights!$B$7)</f>
        <v>0</v>
      </c>
      <c r="Q7" s="16" t="str">
        <f aca="false">IFERROR(IF(INDEX(Tasks!$K$5:$K$40,MATCH($B7,Tasks!$A$5:$A$40,0))="","",INDEX(Tasks!$K$5:$K$40,MATCH($B7,Tasks!$A$5:$A$40,0))*5),"")</f>
        <v/>
      </c>
      <c r="R7" s="14"/>
      <c r="S7" s="14"/>
      <c r="T7" s="15" t="n">
        <f aca="false">IF(COUNT(Q7:S7)=0,0,AVERAGE(Q7:S7)/5*Weights!$B$8)</f>
        <v>0</v>
      </c>
      <c r="U7" s="17" t="n">
        <f aca="false">IF(INDEX(Plugins!$F$5:$F$41,MATCH($B7,Plugins!$B$5:$B$41,0))&lt;=Weights!$B$16,5,IF(INDEX(Plugins!$F$5:$F$41,MATCH($B7,Plugins!$B$5:$B$41,0))&lt;=Weights!$B$17,4,IF(INDEX(Plugins!$F$5:$F$41,MATCH($B7,Plugins!$B$5:$B$41,0))&lt;=Weights!$B$18,3,IF(INDEX(Plugins!$F$5:$F$41,MATCH($B7,Plugins!$B$5:$B$41,0))&lt;=Weights!$B$19,2,1))))</f>
        <v>5</v>
      </c>
      <c r="V7" s="17" t="n">
        <f aca="false">IF(INDEX(Plugins!$D$5:$D$41,MATCH($B7,Plugins!$B$5:$B$41,0))&gt;=Weights!$B$22,5,IF(INDEX(Plugins!$D$5:$D$41,MATCH($B7,Plugins!$B$5:$B$41,0))&gt;=Weights!$B$23,4,IF(INDEX(Plugins!$D$5:$D$41,MATCH($B7,Plugins!$B$5:$B$41,0))&gt;=Weights!$B$24,3,IF(INDEX(Plugins!$D$5:$D$41,MATCH($B7,Plugins!$B$5:$B$41,0))&gt;=Weights!$B$25,2,1))))</f>
        <v>5</v>
      </c>
      <c r="W7" s="16" t="n">
        <f aca="false">IF(INDEX(Plugins!$H$5:$H$41,MATCH($B7,Plugins!$B$5:$B$41,0))=0,"",INDEX(Plugins!$G$5:$G$41,MATCH($B7,Plugins!$B$5:$B$41,0))/20)</f>
        <v>5</v>
      </c>
      <c r="X7" s="17" t="n">
        <f aca="false">IF(INDEX(Plugins!$I$5:$I$41,MATCH($B7,Plugins!$B$5:$B$41,0))="Y",5,2)</f>
        <v>5</v>
      </c>
      <c r="Y7" s="14"/>
      <c r="Z7" s="14"/>
      <c r="AA7" s="15" t="n">
        <f aca="false">IF(COUNT(U7:Z7)=0,0,AVERAGE(U7:Z7)/5*Weights!$B$9)</f>
        <v>15</v>
      </c>
      <c r="AB7" s="18"/>
      <c r="AC7" s="19" t="n">
        <f aca="false">I7+P7+T7+AA7</f>
        <v>15</v>
      </c>
      <c r="AD7" s="19" t="n">
        <f aca="false">IF(AB7="Y",MIN(AC7,Weights!$B$13),AC7)</f>
        <v>15</v>
      </c>
      <c r="AE7" s="20" t="str">
        <f aca="false">IF(AND(COUNT(D7:H7)&gt;0,COUNT(J7:O7)&gt;0),RANK(AD7,$AD$5:$AD$40),"")</f>
        <v/>
      </c>
      <c r="AF7" s="21"/>
    </row>
    <row r="8" customFormat="false" ht="23.85" hidden="false" customHeight="false" outlineLevel="0" collapsed="false">
      <c r="A8" s="12" t="s">
        <v>55</v>
      </c>
      <c r="B8" s="12" t="s">
        <v>62</v>
      </c>
      <c r="C8" s="13" t="s">
        <v>63</v>
      </c>
      <c r="D8" s="14"/>
      <c r="E8" s="14"/>
      <c r="F8" s="14"/>
      <c r="G8" s="14"/>
      <c r="H8" s="14"/>
      <c r="I8" s="15" t="n">
        <f aca="false">IF(COUNT(D8:H8)=0,0,AVERAGE(D8:H8)/5*Weights!$B$6)</f>
        <v>0</v>
      </c>
      <c r="J8" s="14"/>
      <c r="K8" s="14"/>
      <c r="L8" s="14"/>
      <c r="M8" s="14"/>
      <c r="N8" s="14"/>
      <c r="O8" s="14"/>
      <c r="P8" s="15" t="n">
        <f aca="false">IF(COUNT(J8:O8)=0,0,AVERAGE(J8:O8)/5*Weights!$B$7)</f>
        <v>0</v>
      </c>
      <c r="Q8" s="16" t="str">
        <f aca="false">IFERROR(IF(INDEX(Tasks!$K$5:$K$40,MATCH($B8,Tasks!$A$5:$A$40,0))="","",INDEX(Tasks!$K$5:$K$40,MATCH($B8,Tasks!$A$5:$A$40,0))*5),"")</f>
        <v/>
      </c>
      <c r="R8" s="14"/>
      <c r="S8" s="14"/>
      <c r="T8" s="15" t="n">
        <f aca="false">IF(COUNT(Q8:S8)=0,0,AVERAGE(Q8:S8)/5*Weights!$B$8)</f>
        <v>0</v>
      </c>
      <c r="U8" s="17" t="n">
        <f aca="false">IF(INDEX(Plugins!$F$5:$F$41,MATCH($B8,Plugins!$B$5:$B$41,0))&lt;=Weights!$B$16,5,IF(INDEX(Plugins!$F$5:$F$41,MATCH($B8,Plugins!$B$5:$B$41,0))&lt;=Weights!$B$17,4,IF(INDEX(Plugins!$F$5:$F$41,MATCH($B8,Plugins!$B$5:$B$41,0))&lt;=Weights!$B$18,3,IF(INDEX(Plugins!$F$5:$F$41,MATCH($B8,Plugins!$B$5:$B$41,0))&lt;=Weights!$B$19,2,1))))</f>
        <v>5</v>
      </c>
      <c r="V8" s="17" t="n">
        <f aca="false">IF(INDEX(Plugins!$D$5:$D$41,MATCH($B8,Plugins!$B$5:$B$41,0))&gt;=Weights!$B$22,5,IF(INDEX(Plugins!$D$5:$D$41,MATCH($B8,Plugins!$B$5:$B$41,0))&gt;=Weights!$B$23,4,IF(INDEX(Plugins!$D$5:$D$41,MATCH($B8,Plugins!$B$5:$B$41,0))&gt;=Weights!$B$24,3,IF(INDEX(Plugins!$D$5:$D$41,MATCH($B8,Plugins!$B$5:$B$41,0))&gt;=Weights!$B$25,2,1))))</f>
        <v>5</v>
      </c>
      <c r="W8" s="16" t="n">
        <f aca="false">IF(INDEX(Plugins!$H$5:$H$41,MATCH($B8,Plugins!$B$5:$B$41,0))=0,"",INDEX(Plugins!$G$5:$G$41,MATCH($B8,Plugins!$B$5:$B$41,0))/20)</f>
        <v>5</v>
      </c>
      <c r="X8" s="17" t="n">
        <f aca="false">IF(INDEX(Plugins!$I$5:$I$41,MATCH($B8,Plugins!$B$5:$B$41,0))="Y",5,2)</f>
        <v>5</v>
      </c>
      <c r="Y8" s="14"/>
      <c r="Z8" s="14"/>
      <c r="AA8" s="15" t="n">
        <f aca="false">IF(COUNT(U8:Z8)=0,0,AVERAGE(U8:Z8)/5*Weights!$B$9)</f>
        <v>15</v>
      </c>
      <c r="AB8" s="18"/>
      <c r="AC8" s="19" t="n">
        <f aca="false">I8+P8+T8+AA8</f>
        <v>15</v>
      </c>
      <c r="AD8" s="19" t="n">
        <f aca="false">IF(AB8="Y",MIN(AC8,Weights!$B$13),AC8)</f>
        <v>15</v>
      </c>
      <c r="AE8" s="20" t="str">
        <f aca="false">IF(AND(COUNT(D8:H8)&gt;0,COUNT(J8:O8)&gt;0),RANK(AD8,$AD$5:$AD$40),"")</f>
        <v/>
      </c>
      <c r="AF8" s="21"/>
    </row>
    <row r="9" customFormat="false" ht="23.85" hidden="false" customHeight="false" outlineLevel="0" collapsed="false">
      <c r="A9" s="12" t="s">
        <v>55</v>
      </c>
      <c r="B9" s="12" t="s">
        <v>64</v>
      </c>
      <c r="C9" s="13" t="s">
        <v>65</v>
      </c>
      <c r="D9" s="14"/>
      <c r="E9" s="14"/>
      <c r="F9" s="14"/>
      <c r="G9" s="14"/>
      <c r="H9" s="14"/>
      <c r="I9" s="15" t="n">
        <f aca="false">IF(COUNT(D9:H9)=0,0,AVERAGE(D9:H9)/5*Weights!$B$6)</f>
        <v>0</v>
      </c>
      <c r="J9" s="14"/>
      <c r="K9" s="14"/>
      <c r="L9" s="14"/>
      <c r="M9" s="14"/>
      <c r="N9" s="14"/>
      <c r="O9" s="14"/>
      <c r="P9" s="15" t="n">
        <f aca="false">IF(COUNT(J9:O9)=0,0,AVERAGE(J9:O9)/5*Weights!$B$7)</f>
        <v>0</v>
      </c>
      <c r="Q9" s="16" t="str">
        <f aca="false">IFERROR(IF(INDEX(Tasks!$K$5:$K$40,MATCH($B9,Tasks!$A$5:$A$40,0))="","",INDEX(Tasks!$K$5:$K$40,MATCH($B9,Tasks!$A$5:$A$40,0))*5),"")</f>
        <v/>
      </c>
      <c r="R9" s="14"/>
      <c r="S9" s="14"/>
      <c r="T9" s="15" t="n">
        <f aca="false">IF(COUNT(Q9:S9)=0,0,AVERAGE(Q9:S9)/5*Weights!$B$8)</f>
        <v>0</v>
      </c>
      <c r="U9" s="17" t="n">
        <f aca="false">IF(INDEX(Plugins!$F$5:$F$41,MATCH($B9,Plugins!$B$5:$B$41,0))&lt;=Weights!$B$16,5,IF(INDEX(Plugins!$F$5:$F$41,MATCH($B9,Plugins!$B$5:$B$41,0))&lt;=Weights!$B$17,4,IF(INDEX(Plugins!$F$5:$F$41,MATCH($B9,Plugins!$B$5:$B$41,0))&lt;=Weights!$B$18,3,IF(INDEX(Plugins!$F$5:$F$41,MATCH($B9,Plugins!$B$5:$B$41,0))&lt;=Weights!$B$19,2,1))))</f>
        <v>5</v>
      </c>
      <c r="V9" s="17" t="n">
        <f aca="false">IF(INDEX(Plugins!$D$5:$D$41,MATCH($B9,Plugins!$B$5:$B$41,0))&gt;=Weights!$B$22,5,IF(INDEX(Plugins!$D$5:$D$41,MATCH($B9,Plugins!$B$5:$B$41,0))&gt;=Weights!$B$23,4,IF(INDEX(Plugins!$D$5:$D$41,MATCH($B9,Plugins!$B$5:$B$41,0))&gt;=Weights!$B$24,3,IF(INDEX(Plugins!$D$5:$D$41,MATCH($B9,Plugins!$B$5:$B$41,0))&gt;=Weights!$B$25,2,1))))</f>
        <v>4</v>
      </c>
      <c r="W9" s="16" t="n">
        <f aca="false">IF(INDEX(Plugins!$H$5:$H$41,MATCH($B9,Plugins!$B$5:$B$41,0))=0,"",INDEX(Plugins!$G$5:$G$41,MATCH($B9,Plugins!$B$5:$B$41,0))/20)</f>
        <v>5</v>
      </c>
      <c r="X9" s="17" t="n">
        <f aca="false">IF(INDEX(Plugins!$I$5:$I$41,MATCH($B9,Plugins!$B$5:$B$41,0))="Y",5,2)</f>
        <v>5</v>
      </c>
      <c r="Y9" s="14"/>
      <c r="Z9" s="14"/>
      <c r="AA9" s="15" t="n">
        <f aca="false">IF(COUNT(U9:Z9)=0,0,AVERAGE(U9:Z9)/5*Weights!$B$9)</f>
        <v>14.25</v>
      </c>
      <c r="AB9" s="18"/>
      <c r="AC9" s="19" t="n">
        <f aca="false">I9+P9+T9+AA9</f>
        <v>14.25</v>
      </c>
      <c r="AD9" s="19" t="n">
        <f aca="false">IF(AB9="Y",MIN(AC9,Weights!$B$13),AC9)</f>
        <v>14.25</v>
      </c>
      <c r="AE9" s="20" t="str">
        <f aca="false">IF(AND(COUNT(D9:H9)&gt;0,COUNT(J9:O9)&gt;0),RANK(AD9,$AD$5:$AD$40),"")</f>
        <v/>
      </c>
      <c r="AF9" s="21"/>
    </row>
    <row r="10" customFormat="false" ht="23.85" hidden="false" customHeight="false" outlineLevel="0" collapsed="false">
      <c r="A10" s="12" t="s">
        <v>55</v>
      </c>
      <c r="B10" s="12" t="s">
        <v>66</v>
      </c>
      <c r="C10" s="13" t="s">
        <v>67</v>
      </c>
      <c r="D10" s="14"/>
      <c r="E10" s="14"/>
      <c r="F10" s="14"/>
      <c r="G10" s="14"/>
      <c r="H10" s="14"/>
      <c r="I10" s="15" t="n">
        <f aca="false">IF(COUNT(D10:H10)=0,0,AVERAGE(D10:H10)/5*Weights!$B$6)</f>
        <v>0</v>
      </c>
      <c r="J10" s="14"/>
      <c r="K10" s="14"/>
      <c r="L10" s="14"/>
      <c r="M10" s="14"/>
      <c r="N10" s="14"/>
      <c r="O10" s="14"/>
      <c r="P10" s="15" t="n">
        <f aca="false">IF(COUNT(J10:O10)=0,0,AVERAGE(J10:O10)/5*Weights!$B$7)</f>
        <v>0</v>
      </c>
      <c r="Q10" s="16" t="str">
        <f aca="false">IFERROR(IF(INDEX(Tasks!$K$5:$K$40,MATCH($B10,Tasks!$A$5:$A$40,0))="","",INDEX(Tasks!$K$5:$K$40,MATCH($B10,Tasks!$A$5:$A$40,0))*5),"")</f>
        <v/>
      </c>
      <c r="R10" s="14"/>
      <c r="S10" s="14"/>
      <c r="T10" s="15" t="n">
        <f aca="false">IF(COUNT(Q10:S10)=0,0,AVERAGE(Q10:S10)/5*Weights!$B$8)</f>
        <v>0</v>
      </c>
      <c r="U10" s="17" t="n">
        <f aca="false">IF(INDEX(Plugins!$F$5:$F$41,MATCH($B10,Plugins!$B$5:$B$41,0))&lt;=Weights!$B$16,5,IF(INDEX(Plugins!$F$5:$F$41,MATCH($B10,Plugins!$B$5:$B$41,0))&lt;=Weights!$B$17,4,IF(INDEX(Plugins!$F$5:$F$41,MATCH($B10,Plugins!$B$5:$B$41,0))&lt;=Weights!$B$18,3,IF(INDEX(Plugins!$F$5:$F$41,MATCH($B10,Plugins!$B$5:$B$41,0))&lt;=Weights!$B$19,2,1))))</f>
        <v>5</v>
      </c>
      <c r="V10" s="17" t="n">
        <f aca="false">IF(INDEX(Plugins!$D$5:$D$41,MATCH($B10,Plugins!$B$5:$B$41,0))&gt;=Weights!$B$22,5,IF(INDEX(Plugins!$D$5:$D$41,MATCH($B10,Plugins!$B$5:$B$41,0))&gt;=Weights!$B$23,4,IF(INDEX(Plugins!$D$5:$D$41,MATCH($B10,Plugins!$B$5:$B$41,0))&gt;=Weights!$B$24,3,IF(INDEX(Plugins!$D$5:$D$41,MATCH($B10,Plugins!$B$5:$B$41,0))&gt;=Weights!$B$25,2,1))))</f>
        <v>4</v>
      </c>
      <c r="W10" s="16" t="n">
        <f aca="false">IF(INDEX(Plugins!$H$5:$H$41,MATCH($B10,Plugins!$B$5:$B$41,0))=0,"",INDEX(Plugins!$G$5:$G$41,MATCH($B10,Plugins!$B$5:$B$41,0))/20)</f>
        <v>5</v>
      </c>
      <c r="X10" s="17" t="n">
        <f aca="false">IF(INDEX(Plugins!$I$5:$I$41,MATCH($B10,Plugins!$B$5:$B$41,0))="Y",5,2)</f>
        <v>5</v>
      </c>
      <c r="Y10" s="14"/>
      <c r="Z10" s="14"/>
      <c r="AA10" s="15" t="n">
        <f aca="false">IF(COUNT(U10:Z10)=0,0,AVERAGE(U10:Z10)/5*Weights!$B$9)</f>
        <v>14.25</v>
      </c>
      <c r="AB10" s="18"/>
      <c r="AC10" s="19" t="n">
        <f aca="false">I10+P10+T10+AA10</f>
        <v>14.25</v>
      </c>
      <c r="AD10" s="19" t="n">
        <f aca="false">IF(AB10="Y",MIN(AC10,Weights!$B$13),AC10)</f>
        <v>14.25</v>
      </c>
      <c r="AE10" s="20" t="str">
        <f aca="false">IF(AND(COUNT(D10:H10)&gt;0,COUNT(J10:O10)&gt;0),RANK(AD10,$AD$5:$AD$40),"")</f>
        <v/>
      </c>
      <c r="AF10" s="21"/>
    </row>
    <row r="11" customFormat="false" ht="23.85" hidden="false" customHeight="false" outlineLevel="0" collapsed="false">
      <c r="A11" s="12" t="s">
        <v>55</v>
      </c>
      <c r="B11" s="12" t="s">
        <v>68</v>
      </c>
      <c r="C11" s="13" t="s">
        <v>69</v>
      </c>
      <c r="D11" s="14"/>
      <c r="E11" s="14"/>
      <c r="F11" s="14"/>
      <c r="G11" s="14"/>
      <c r="H11" s="14"/>
      <c r="I11" s="15" t="n">
        <f aca="false">IF(COUNT(D11:H11)=0,0,AVERAGE(D11:H11)/5*Weights!$B$6)</f>
        <v>0</v>
      </c>
      <c r="J11" s="14"/>
      <c r="K11" s="14"/>
      <c r="L11" s="14"/>
      <c r="M11" s="14"/>
      <c r="N11" s="14"/>
      <c r="O11" s="14"/>
      <c r="P11" s="15" t="n">
        <f aca="false">IF(COUNT(J11:O11)=0,0,AVERAGE(J11:O11)/5*Weights!$B$7)</f>
        <v>0</v>
      </c>
      <c r="Q11" s="16" t="str">
        <f aca="false">IFERROR(IF(INDEX(Tasks!$K$5:$K$40,MATCH($B11,Tasks!$A$5:$A$40,0))="","",INDEX(Tasks!$K$5:$K$40,MATCH($B11,Tasks!$A$5:$A$40,0))*5),"")</f>
        <v/>
      </c>
      <c r="R11" s="14"/>
      <c r="S11" s="14"/>
      <c r="T11" s="15" t="n">
        <f aca="false">IF(COUNT(Q11:S11)=0,0,AVERAGE(Q11:S11)/5*Weights!$B$8)</f>
        <v>0</v>
      </c>
      <c r="U11" s="17" t="n">
        <f aca="false">IF(INDEX(Plugins!$F$5:$F$41,MATCH($B11,Plugins!$B$5:$B$41,0))&lt;=Weights!$B$16,5,IF(INDEX(Plugins!$F$5:$F$41,MATCH($B11,Plugins!$B$5:$B$41,0))&lt;=Weights!$B$17,4,IF(INDEX(Plugins!$F$5:$F$41,MATCH($B11,Plugins!$B$5:$B$41,0))&lt;=Weights!$B$18,3,IF(INDEX(Plugins!$F$5:$F$41,MATCH($B11,Plugins!$B$5:$B$41,0))&lt;=Weights!$B$19,2,1))))</f>
        <v>5</v>
      </c>
      <c r="V11" s="17" t="n">
        <f aca="false">IF(INDEX(Plugins!$D$5:$D$41,MATCH($B11,Plugins!$B$5:$B$41,0))&gt;=Weights!$B$22,5,IF(INDEX(Plugins!$D$5:$D$41,MATCH($B11,Plugins!$B$5:$B$41,0))&gt;=Weights!$B$23,4,IF(INDEX(Plugins!$D$5:$D$41,MATCH($B11,Plugins!$B$5:$B$41,0))&gt;=Weights!$B$24,3,IF(INDEX(Plugins!$D$5:$D$41,MATCH($B11,Plugins!$B$5:$B$41,0))&gt;=Weights!$B$25,2,1))))</f>
        <v>4</v>
      </c>
      <c r="W11" s="16" t="n">
        <f aca="false">IF(INDEX(Plugins!$H$5:$H$41,MATCH($B11,Plugins!$B$5:$B$41,0))=0,"",INDEX(Plugins!$G$5:$G$41,MATCH($B11,Plugins!$B$5:$B$41,0))/20)</f>
        <v>5</v>
      </c>
      <c r="X11" s="17" t="n">
        <f aca="false">IF(INDEX(Plugins!$I$5:$I$41,MATCH($B11,Plugins!$B$5:$B$41,0))="Y",5,2)</f>
        <v>5</v>
      </c>
      <c r="Y11" s="14"/>
      <c r="Z11" s="14"/>
      <c r="AA11" s="15" t="n">
        <f aca="false">IF(COUNT(U11:Z11)=0,0,AVERAGE(U11:Z11)/5*Weights!$B$9)</f>
        <v>14.25</v>
      </c>
      <c r="AB11" s="18"/>
      <c r="AC11" s="19" t="n">
        <f aca="false">I11+P11+T11+AA11</f>
        <v>14.25</v>
      </c>
      <c r="AD11" s="19" t="n">
        <f aca="false">IF(AB11="Y",MIN(AC11,Weights!$B$13),AC11)</f>
        <v>14.25</v>
      </c>
      <c r="AE11" s="20" t="str">
        <f aca="false">IF(AND(COUNT(D11:H11)&gt;0,COUNT(J11:O11)&gt;0),RANK(AD11,$AD$5:$AD$40),"")</f>
        <v/>
      </c>
      <c r="AF11" s="21"/>
    </row>
    <row r="12" customFormat="false" ht="23.85" hidden="false" customHeight="false" outlineLevel="0" collapsed="false">
      <c r="A12" s="12" t="s">
        <v>55</v>
      </c>
      <c r="B12" s="12" t="s">
        <v>70</v>
      </c>
      <c r="C12" s="13" t="s">
        <v>71</v>
      </c>
      <c r="D12" s="14"/>
      <c r="E12" s="14"/>
      <c r="F12" s="14"/>
      <c r="G12" s="14"/>
      <c r="H12" s="14"/>
      <c r="I12" s="15" t="n">
        <f aca="false">IF(COUNT(D12:H12)=0,0,AVERAGE(D12:H12)/5*Weights!$B$6)</f>
        <v>0</v>
      </c>
      <c r="J12" s="14"/>
      <c r="K12" s="14"/>
      <c r="L12" s="14"/>
      <c r="M12" s="14"/>
      <c r="N12" s="14"/>
      <c r="O12" s="14"/>
      <c r="P12" s="15" t="n">
        <f aca="false">IF(COUNT(J12:O12)=0,0,AVERAGE(J12:O12)/5*Weights!$B$7)</f>
        <v>0</v>
      </c>
      <c r="Q12" s="16" t="str">
        <f aca="false">IFERROR(IF(INDEX(Tasks!$K$5:$K$40,MATCH($B12,Tasks!$A$5:$A$40,0))="","",INDEX(Tasks!$K$5:$K$40,MATCH($B12,Tasks!$A$5:$A$40,0))*5),"")</f>
        <v/>
      </c>
      <c r="R12" s="14"/>
      <c r="S12" s="14"/>
      <c r="T12" s="15" t="n">
        <f aca="false">IF(COUNT(Q12:S12)=0,0,AVERAGE(Q12:S12)/5*Weights!$B$8)</f>
        <v>0</v>
      </c>
      <c r="U12" s="17" t="n">
        <f aca="false">IF(INDEX(Plugins!$F$5:$F$41,MATCH($B12,Plugins!$B$5:$B$41,0))&lt;=Weights!$B$16,5,IF(INDEX(Plugins!$F$5:$F$41,MATCH($B12,Plugins!$B$5:$B$41,0))&lt;=Weights!$B$17,4,IF(INDEX(Plugins!$F$5:$F$41,MATCH($B12,Plugins!$B$5:$B$41,0))&lt;=Weights!$B$18,3,IF(INDEX(Plugins!$F$5:$F$41,MATCH($B12,Plugins!$B$5:$B$41,0))&lt;=Weights!$B$19,2,1))))</f>
        <v>5</v>
      </c>
      <c r="V12" s="17" t="n">
        <f aca="false">IF(INDEX(Plugins!$D$5:$D$41,MATCH($B12,Plugins!$B$5:$B$41,0))&gt;=Weights!$B$22,5,IF(INDEX(Plugins!$D$5:$D$41,MATCH($B12,Plugins!$B$5:$B$41,0))&gt;=Weights!$B$23,4,IF(INDEX(Plugins!$D$5:$D$41,MATCH($B12,Plugins!$B$5:$B$41,0))&gt;=Weights!$B$24,3,IF(INDEX(Plugins!$D$5:$D$41,MATCH($B12,Plugins!$B$5:$B$41,0))&gt;=Weights!$B$25,2,1))))</f>
        <v>3</v>
      </c>
      <c r="W12" s="16" t="n">
        <f aca="false">IF(INDEX(Plugins!$H$5:$H$41,MATCH($B12,Plugins!$B$5:$B$41,0))=0,"",INDEX(Plugins!$G$5:$G$41,MATCH($B12,Plugins!$B$5:$B$41,0))/20)</f>
        <v>5</v>
      </c>
      <c r="X12" s="17" t="n">
        <f aca="false">IF(INDEX(Plugins!$I$5:$I$41,MATCH($B12,Plugins!$B$5:$B$41,0))="Y",5,2)</f>
        <v>5</v>
      </c>
      <c r="Y12" s="14"/>
      <c r="Z12" s="14"/>
      <c r="AA12" s="15" t="n">
        <f aca="false">IF(COUNT(U12:Z12)=0,0,AVERAGE(U12:Z12)/5*Weights!$B$9)</f>
        <v>13.5</v>
      </c>
      <c r="AB12" s="18"/>
      <c r="AC12" s="19" t="n">
        <f aca="false">I12+P12+T12+AA12</f>
        <v>13.5</v>
      </c>
      <c r="AD12" s="19" t="n">
        <f aca="false">IF(AB12="Y",MIN(AC12,Weights!$B$13),AC12)</f>
        <v>13.5</v>
      </c>
      <c r="AE12" s="20" t="str">
        <f aca="false">IF(AND(COUNT(D12:H12)&gt;0,COUNT(J12:O12)&gt;0),RANK(AD12,$AD$5:$AD$40),"")</f>
        <v/>
      </c>
      <c r="AF12" s="21"/>
    </row>
    <row r="13" customFormat="false" ht="23.85" hidden="false" customHeight="false" outlineLevel="0" collapsed="false">
      <c r="A13" s="12" t="s">
        <v>55</v>
      </c>
      <c r="B13" s="12" t="s">
        <v>72</v>
      </c>
      <c r="C13" s="13" t="s">
        <v>73</v>
      </c>
      <c r="D13" s="14"/>
      <c r="E13" s="14"/>
      <c r="F13" s="14"/>
      <c r="G13" s="14"/>
      <c r="H13" s="14"/>
      <c r="I13" s="15" t="n">
        <f aca="false">IF(COUNT(D13:H13)=0,0,AVERAGE(D13:H13)/5*Weights!$B$6)</f>
        <v>0</v>
      </c>
      <c r="J13" s="14"/>
      <c r="K13" s="14"/>
      <c r="L13" s="14"/>
      <c r="M13" s="14"/>
      <c r="N13" s="14"/>
      <c r="O13" s="14"/>
      <c r="P13" s="15" t="n">
        <f aca="false">IF(COUNT(J13:O13)=0,0,AVERAGE(J13:O13)/5*Weights!$B$7)</f>
        <v>0</v>
      </c>
      <c r="Q13" s="16" t="str">
        <f aca="false">IFERROR(IF(INDEX(Tasks!$K$5:$K$40,MATCH($B13,Tasks!$A$5:$A$40,0))="","",INDEX(Tasks!$K$5:$K$40,MATCH($B13,Tasks!$A$5:$A$40,0))*5),"")</f>
        <v/>
      </c>
      <c r="R13" s="14"/>
      <c r="S13" s="14"/>
      <c r="T13" s="15" t="n">
        <f aca="false">IF(COUNT(Q13:S13)=0,0,AVERAGE(Q13:S13)/5*Weights!$B$8)</f>
        <v>0</v>
      </c>
      <c r="U13" s="17" t="n">
        <f aca="false">IF(INDEX(Plugins!$F$5:$F$41,MATCH($B13,Plugins!$B$5:$B$41,0))&lt;=Weights!$B$16,5,IF(INDEX(Plugins!$F$5:$F$41,MATCH($B13,Plugins!$B$5:$B$41,0))&lt;=Weights!$B$17,4,IF(INDEX(Plugins!$F$5:$F$41,MATCH($B13,Plugins!$B$5:$B$41,0))&lt;=Weights!$B$18,3,IF(INDEX(Plugins!$F$5:$F$41,MATCH($B13,Plugins!$B$5:$B$41,0))&lt;=Weights!$B$19,2,1))))</f>
        <v>5</v>
      </c>
      <c r="V13" s="17" t="n">
        <f aca="false">IF(INDEX(Plugins!$D$5:$D$41,MATCH($B13,Plugins!$B$5:$B$41,0))&gt;=Weights!$B$22,5,IF(INDEX(Plugins!$D$5:$D$41,MATCH($B13,Plugins!$B$5:$B$41,0))&gt;=Weights!$B$23,4,IF(INDEX(Plugins!$D$5:$D$41,MATCH($B13,Plugins!$B$5:$B$41,0))&gt;=Weights!$B$24,3,IF(INDEX(Plugins!$D$5:$D$41,MATCH($B13,Plugins!$B$5:$B$41,0))&gt;=Weights!$B$25,2,1))))</f>
        <v>3</v>
      </c>
      <c r="W13" s="16" t="n">
        <f aca="false">IF(INDEX(Plugins!$H$5:$H$41,MATCH($B13,Plugins!$B$5:$B$41,0))=0,"",INDEX(Plugins!$G$5:$G$41,MATCH($B13,Plugins!$B$5:$B$41,0))/20)</f>
        <v>4.8</v>
      </c>
      <c r="X13" s="17" t="n">
        <f aca="false">IF(INDEX(Plugins!$I$5:$I$41,MATCH($B13,Plugins!$B$5:$B$41,0))="Y",5,2)</f>
        <v>5</v>
      </c>
      <c r="Y13" s="14"/>
      <c r="Z13" s="14"/>
      <c r="AA13" s="15" t="n">
        <f aca="false">IF(COUNT(U13:Z13)=0,0,AVERAGE(U13:Z13)/5*Weights!$B$9)</f>
        <v>13.35</v>
      </c>
      <c r="AB13" s="18"/>
      <c r="AC13" s="19" t="n">
        <f aca="false">I13+P13+T13+AA13</f>
        <v>13.35</v>
      </c>
      <c r="AD13" s="19" t="n">
        <f aca="false">IF(AB13="Y",MIN(AC13,Weights!$B$13),AC13)</f>
        <v>13.35</v>
      </c>
      <c r="AE13" s="20" t="str">
        <f aca="false">IF(AND(COUNT(D13:H13)&gt;0,COUNT(J13:O13)&gt;0),RANK(AD13,$AD$5:$AD$40),"")</f>
        <v/>
      </c>
      <c r="AF13" s="21"/>
    </row>
    <row r="14" customFormat="false" ht="15" hidden="false" customHeight="false" outlineLevel="0" collapsed="false">
      <c r="A14" s="12" t="s">
        <v>55</v>
      </c>
      <c r="B14" s="12" t="s">
        <v>74</v>
      </c>
      <c r="C14" s="13" t="s">
        <v>75</v>
      </c>
      <c r="D14" s="14"/>
      <c r="E14" s="14"/>
      <c r="F14" s="14"/>
      <c r="G14" s="14"/>
      <c r="H14" s="14"/>
      <c r="I14" s="15" t="n">
        <f aca="false">IF(COUNT(D14:H14)=0,0,AVERAGE(D14:H14)/5*Weights!$B$6)</f>
        <v>0</v>
      </c>
      <c r="J14" s="14"/>
      <c r="K14" s="14"/>
      <c r="L14" s="14"/>
      <c r="M14" s="14"/>
      <c r="N14" s="14"/>
      <c r="O14" s="14"/>
      <c r="P14" s="15" t="n">
        <f aca="false">IF(COUNT(J14:O14)=0,0,AVERAGE(J14:O14)/5*Weights!$B$7)</f>
        <v>0</v>
      </c>
      <c r="Q14" s="16" t="str">
        <f aca="false">IFERROR(IF(INDEX(Tasks!$K$5:$K$40,MATCH($B14,Tasks!$A$5:$A$40,0))="","",INDEX(Tasks!$K$5:$K$40,MATCH($B14,Tasks!$A$5:$A$40,0))*5),"")</f>
        <v/>
      </c>
      <c r="R14" s="14"/>
      <c r="S14" s="14"/>
      <c r="T14" s="15" t="n">
        <f aca="false">IF(COUNT(Q14:S14)=0,0,AVERAGE(Q14:S14)/5*Weights!$B$8)</f>
        <v>0</v>
      </c>
      <c r="U14" s="17" t="n">
        <f aca="false">IF(INDEX(Plugins!$F$5:$F$41,MATCH($B14,Plugins!$B$5:$B$41,0))&lt;=Weights!$B$16,5,IF(INDEX(Plugins!$F$5:$F$41,MATCH($B14,Plugins!$B$5:$B$41,0))&lt;=Weights!$B$17,4,IF(INDEX(Plugins!$F$5:$F$41,MATCH($B14,Plugins!$B$5:$B$41,0))&lt;=Weights!$B$18,3,IF(INDEX(Plugins!$F$5:$F$41,MATCH($B14,Plugins!$B$5:$B$41,0))&lt;=Weights!$B$19,2,1))))</f>
        <v>5</v>
      </c>
      <c r="V14" s="17" t="n">
        <f aca="false">IF(INDEX(Plugins!$D$5:$D$41,MATCH($B14,Plugins!$B$5:$B$41,0))&gt;=Weights!$B$22,5,IF(INDEX(Plugins!$D$5:$D$41,MATCH($B14,Plugins!$B$5:$B$41,0))&gt;=Weights!$B$23,4,IF(INDEX(Plugins!$D$5:$D$41,MATCH($B14,Plugins!$B$5:$B$41,0))&gt;=Weights!$B$24,3,IF(INDEX(Plugins!$D$5:$D$41,MATCH($B14,Plugins!$B$5:$B$41,0))&gt;=Weights!$B$25,2,1))))</f>
        <v>3</v>
      </c>
      <c r="W14" s="16" t="str">
        <f aca="false">IF(INDEX(Plugins!$H$5:$H$41,MATCH($B14,Plugins!$B$5:$B$41,0))=0,"",INDEX(Plugins!$G$5:$G$41,MATCH($B14,Plugins!$B$5:$B$41,0))/20)</f>
        <v/>
      </c>
      <c r="X14" s="17" t="n">
        <f aca="false">IF(INDEX(Plugins!$I$5:$I$41,MATCH($B14,Plugins!$B$5:$B$41,0))="Y",5,2)</f>
        <v>5</v>
      </c>
      <c r="Y14" s="14"/>
      <c r="Z14" s="14"/>
      <c r="AA14" s="15" t="n">
        <f aca="false">IF(COUNT(U14:Z14)=0,0,AVERAGE(U14:Z14)/5*Weights!$B$9)</f>
        <v>13</v>
      </c>
      <c r="AB14" s="18"/>
      <c r="AC14" s="19" t="n">
        <f aca="false">I14+P14+T14+AA14</f>
        <v>13</v>
      </c>
      <c r="AD14" s="19" t="n">
        <f aca="false">IF(AB14="Y",MIN(AC14,Weights!$B$13),AC14)</f>
        <v>13</v>
      </c>
      <c r="AE14" s="20" t="str">
        <f aca="false">IF(AND(COUNT(D14:H14)&gt;0,COUNT(J14:O14)&gt;0),RANK(AD14,$AD$5:$AD$40),"")</f>
        <v/>
      </c>
      <c r="AF14" s="21"/>
    </row>
    <row r="15" customFormat="false" ht="23.85" hidden="false" customHeight="false" outlineLevel="0" collapsed="false">
      <c r="A15" s="12" t="s">
        <v>55</v>
      </c>
      <c r="B15" s="12" t="s">
        <v>76</v>
      </c>
      <c r="C15" s="13" t="s">
        <v>77</v>
      </c>
      <c r="D15" s="14"/>
      <c r="E15" s="14"/>
      <c r="F15" s="14"/>
      <c r="G15" s="14"/>
      <c r="H15" s="14"/>
      <c r="I15" s="15" t="n">
        <f aca="false">IF(COUNT(D15:H15)=0,0,AVERAGE(D15:H15)/5*Weights!$B$6)</f>
        <v>0</v>
      </c>
      <c r="J15" s="14"/>
      <c r="K15" s="14"/>
      <c r="L15" s="14"/>
      <c r="M15" s="14"/>
      <c r="N15" s="14"/>
      <c r="O15" s="14"/>
      <c r="P15" s="15" t="n">
        <f aca="false">IF(COUNT(J15:O15)=0,0,AVERAGE(J15:O15)/5*Weights!$B$7)</f>
        <v>0</v>
      </c>
      <c r="Q15" s="16" t="str">
        <f aca="false">IFERROR(IF(INDEX(Tasks!$K$5:$K$40,MATCH($B15,Tasks!$A$5:$A$40,0))="","",INDEX(Tasks!$K$5:$K$40,MATCH($B15,Tasks!$A$5:$A$40,0))*5),"")</f>
        <v/>
      </c>
      <c r="R15" s="14"/>
      <c r="S15" s="14"/>
      <c r="T15" s="15" t="n">
        <f aca="false">IF(COUNT(Q15:S15)=0,0,AVERAGE(Q15:S15)/5*Weights!$B$8)</f>
        <v>0</v>
      </c>
      <c r="U15" s="17" t="n">
        <f aca="false">IF(INDEX(Plugins!$F$5:$F$41,MATCH($B15,Plugins!$B$5:$B$41,0))&lt;=Weights!$B$16,5,IF(INDEX(Plugins!$F$5:$F$41,MATCH($B15,Plugins!$B$5:$B$41,0))&lt;=Weights!$B$17,4,IF(INDEX(Plugins!$F$5:$F$41,MATCH($B15,Plugins!$B$5:$B$41,0))&lt;=Weights!$B$18,3,IF(INDEX(Plugins!$F$5:$F$41,MATCH($B15,Plugins!$B$5:$B$41,0))&lt;=Weights!$B$19,2,1))))</f>
        <v>5</v>
      </c>
      <c r="V15" s="17" t="n">
        <f aca="false">IF(INDEX(Plugins!$D$5:$D$41,MATCH($B15,Plugins!$B$5:$B$41,0))&gt;=Weights!$B$22,5,IF(INDEX(Plugins!$D$5:$D$41,MATCH($B15,Plugins!$B$5:$B$41,0))&gt;=Weights!$B$23,4,IF(INDEX(Plugins!$D$5:$D$41,MATCH($B15,Plugins!$B$5:$B$41,0))&gt;=Weights!$B$24,3,IF(INDEX(Plugins!$D$5:$D$41,MATCH($B15,Plugins!$B$5:$B$41,0))&gt;=Weights!$B$25,2,1))))</f>
        <v>3</v>
      </c>
      <c r="W15" s="16" t="str">
        <f aca="false">IF(INDEX(Plugins!$H$5:$H$41,MATCH($B15,Plugins!$B$5:$B$41,0))=0,"",INDEX(Plugins!$G$5:$G$41,MATCH($B15,Plugins!$B$5:$B$41,0))/20)</f>
        <v/>
      </c>
      <c r="X15" s="17" t="n">
        <f aca="false">IF(INDEX(Plugins!$I$5:$I$41,MATCH($B15,Plugins!$B$5:$B$41,0))="Y",5,2)</f>
        <v>5</v>
      </c>
      <c r="Y15" s="14"/>
      <c r="Z15" s="14"/>
      <c r="AA15" s="15" t="n">
        <f aca="false">IF(COUNT(U15:Z15)=0,0,AVERAGE(U15:Z15)/5*Weights!$B$9)</f>
        <v>13</v>
      </c>
      <c r="AB15" s="18"/>
      <c r="AC15" s="19" t="n">
        <f aca="false">I15+P15+T15+AA15</f>
        <v>13</v>
      </c>
      <c r="AD15" s="19" t="n">
        <f aca="false">IF(AB15="Y",MIN(AC15,Weights!$B$13),AC15)</f>
        <v>13</v>
      </c>
      <c r="AE15" s="20" t="str">
        <f aca="false">IF(AND(COUNT(D15:H15)&gt;0,COUNT(J15:O15)&gt;0),RANK(AD15,$AD$5:$AD$40),"")</f>
        <v/>
      </c>
      <c r="AF15" s="21"/>
    </row>
    <row r="16" customFormat="false" ht="35.05" hidden="false" customHeight="false" outlineLevel="0" collapsed="false">
      <c r="A16" s="12" t="s">
        <v>55</v>
      </c>
      <c r="B16" s="12" t="s">
        <v>78</v>
      </c>
      <c r="C16" s="13" t="s">
        <v>79</v>
      </c>
      <c r="D16" s="14"/>
      <c r="E16" s="14"/>
      <c r="F16" s="14"/>
      <c r="G16" s="14"/>
      <c r="H16" s="14"/>
      <c r="I16" s="15" t="n">
        <f aca="false">IF(COUNT(D16:H16)=0,0,AVERAGE(D16:H16)/5*Weights!$B$6)</f>
        <v>0</v>
      </c>
      <c r="J16" s="14"/>
      <c r="K16" s="14"/>
      <c r="L16" s="14"/>
      <c r="M16" s="14"/>
      <c r="N16" s="14"/>
      <c r="O16" s="14"/>
      <c r="P16" s="15" t="n">
        <f aca="false">IF(COUNT(J16:O16)=0,0,AVERAGE(J16:O16)/5*Weights!$B$7)</f>
        <v>0</v>
      </c>
      <c r="Q16" s="16" t="str">
        <f aca="false">IFERROR(IF(INDEX(Tasks!$K$5:$K$40,MATCH($B16,Tasks!$A$5:$A$40,0))="","",INDEX(Tasks!$K$5:$K$40,MATCH($B16,Tasks!$A$5:$A$40,0))*5),"")</f>
        <v/>
      </c>
      <c r="R16" s="14"/>
      <c r="S16" s="14"/>
      <c r="T16" s="15" t="n">
        <f aca="false">IF(COUNT(Q16:S16)=0,0,AVERAGE(Q16:S16)/5*Weights!$B$8)</f>
        <v>0</v>
      </c>
      <c r="U16" s="17" t="n">
        <f aca="false">IF(INDEX(Plugins!$F$5:$F$41,MATCH($B16,Plugins!$B$5:$B$41,0))&lt;=Weights!$B$16,5,IF(INDEX(Plugins!$F$5:$F$41,MATCH($B16,Plugins!$B$5:$B$41,0))&lt;=Weights!$B$17,4,IF(INDEX(Plugins!$F$5:$F$41,MATCH($B16,Plugins!$B$5:$B$41,0))&lt;=Weights!$B$18,3,IF(INDEX(Plugins!$F$5:$F$41,MATCH($B16,Plugins!$B$5:$B$41,0))&lt;=Weights!$B$19,2,1))))</f>
        <v>5</v>
      </c>
      <c r="V16" s="17" t="n">
        <f aca="false">IF(INDEX(Plugins!$D$5:$D$41,MATCH($B16,Plugins!$B$5:$B$41,0))&gt;=Weights!$B$22,5,IF(INDEX(Plugins!$D$5:$D$41,MATCH($B16,Plugins!$B$5:$B$41,0))&gt;=Weights!$B$23,4,IF(INDEX(Plugins!$D$5:$D$41,MATCH($B16,Plugins!$B$5:$B$41,0))&gt;=Weights!$B$24,3,IF(INDEX(Plugins!$D$5:$D$41,MATCH($B16,Plugins!$B$5:$B$41,0))&gt;=Weights!$B$25,2,1))))</f>
        <v>3</v>
      </c>
      <c r="W16" s="16" t="n">
        <f aca="false">IF(INDEX(Plugins!$H$5:$H$41,MATCH($B16,Plugins!$B$5:$B$41,0))=0,"",INDEX(Plugins!$G$5:$G$41,MATCH($B16,Plugins!$B$5:$B$41,0))/20)</f>
        <v>5</v>
      </c>
      <c r="X16" s="17" t="n">
        <f aca="false">IF(INDEX(Plugins!$I$5:$I$41,MATCH($B16,Plugins!$B$5:$B$41,0))="Y",5,2)</f>
        <v>5</v>
      </c>
      <c r="Y16" s="14"/>
      <c r="Z16" s="14"/>
      <c r="AA16" s="15" t="n">
        <f aca="false">IF(COUNT(U16:Z16)=0,0,AVERAGE(U16:Z16)/5*Weights!$B$9)</f>
        <v>13.5</v>
      </c>
      <c r="AB16" s="18"/>
      <c r="AC16" s="19" t="n">
        <f aca="false">I16+P16+T16+AA16</f>
        <v>13.5</v>
      </c>
      <c r="AD16" s="19" t="n">
        <f aca="false">IF(AB16="Y",MIN(AC16,Weights!$B$13),AC16)</f>
        <v>13.5</v>
      </c>
      <c r="AE16" s="20" t="str">
        <f aca="false">IF(AND(COUNT(D16:H16)&gt;0,COUNT(J16:O16)&gt;0),RANK(AD16,$AD$5:$AD$40),"")</f>
        <v/>
      </c>
      <c r="AF16" s="21"/>
    </row>
    <row r="17" customFormat="false" ht="15" hidden="false" customHeight="false" outlineLevel="0" collapsed="false">
      <c r="A17" s="12" t="s">
        <v>55</v>
      </c>
      <c r="B17" s="12" t="s">
        <v>80</v>
      </c>
      <c r="C17" s="13" t="s">
        <v>81</v>
      </c>
      <c r="D17" s="14"/>
      <c r="E17" s="14"/>
      <c r="F17" s="14"/>
      <c r="G17" s="14"/>
      <c r="H17" s="14"/>
      <c r="I17" s="15" t="n">
        <f aca="false">IF(COUNT(D17:H17)=0,0,AVERAGE(D17:H17)/5*Weights!$B$6)</f>
        <v>0</v>
      </c>
      <c r="J17" s="14"/>
      <c r="K17" s="14"/>
      <c r="L17" s="14"/>
      <c r="M17" s="14"/>
      <c r="N17" s="14"/>
      <c r="O17" s="14"/>
      <c r="P17" s="15" t="n">
        <f aca="false">IF(COUNT(J17:O17)=0,0,AVERAGE(J17:O17)/5*Weights!$B$7)</f>
        <v>0</v>
      </c>
      <c r="Q17" s="16" t="str">
        <f aca="false">IFERROR(IF(INDEX(Tasks!$K$5:$K$40,MATCH($B17,Tasks!$A$5:$A$40,0))="","",INDEX(Tasks!$K$5:$K$40,MATCH($B17,Tasks!$A$5:$A$40,0))*5),"")</f>
        <v/>
      </c>
      <c r="R17" s="14"/>
      <c r="S17" s="14"/>
      <c r="T17" s="15" t="n">
        <f aca="false">IF(COUNT(Q17:S17)=0,0,AVERAGE(Q17:S17)/5*Weights!$B$8)</f>
        <v>0</v>
      </c>
      <c r="U17" s="17" t="n">
        <f aca="false">IF(INDEX(Plugins!$F$5:$F$41,MATCH($B17,Plugins!$B$5:$B$41,0))&lt;=Weights!$B$16,5,IF(INDEX(Plugins!$F$5:$F$41,MATCH($B17,Plugins!$B$5:$B$41,0))&lt;=Weights!$B$17,4,IF(INDEX(Plugins!$F$5:$F$41,MATCH($B17,Plugins!$B$5:$B$41,0))&lt;=Weights!$B$18,3,IF(INDEX(Plugins!$F$5:$F$41,MATCH($B17,Plugins!$B$5:$B$41,0))&lt;=Weights!$B$19,2,1))))</f>
        <v>5</v>
      </c>
      <c r="V17" s="17" t="n">
        <f aca="false">IF(INDEX(Plugins!$D$5:$D$41,MATCH($B17,Plugins!$B$5:$B$41,0))&gt;=Weights!$B$22,5,IF(INDEX(Plugins!$D$5:$D$41,MATCH($B17,Plugins!$B$5:$B$41,0))&gt;=Weights!$B$23,4,IF(INDEX(Plugins!$D$5:$D$41,MATCH($B17,Plugins!$B$5:$B$41,0))&gt;=Weights!$B$24,3,IF(INDEX(Plugins!$D$5:$D$41,MATCH($B17,Plugins!$B$5:$B$41,0))&gt;=Weights!$B$25,2,1))))</f>
        <v>3</v>
      </c>
      <c r="W17" s="16" t="str">
        <f aca="false">IF(INDEX(Plugins!$H$5:$H$41,MATCH($B17,Plugins!$B$5:$B$41,0))=0,"",INDEX(Plugins!$G$5:$G$41,MATCH($B17,Plugins!$B$5:$B$41,0))/20)</f>
        <v/>
      </c>
      <c r="X17" s="17" t="n">
        <f aca="false">IF(INDEX(Plugins!$I$5:$I$41,MATCH($B17,Plugins!$B$5:$B$41,0))="Y",5,2)</f>
        <v>5</v>
      </c>
      <c r="Y17" s="14"/>
      <c r="Z17" s="14"/>
      <c r="AA17" s="15" t="n">
        <f aca="false">IF(COUNT(U17:Z17)=0,0,AVERAGE(U17:Z17)/5*Weights!$B$9)</f>
        <v>13</v>
      </c>
      <c r="AB17" s="18"/>
      <c r="AC17" s="19" t="n">
        <f aca="false">I17+P17+T17+AA17</f>
        <v>13</v>
      </c>
      <c r="AD17" s="19" t="n">
        <f aca="false">IF(AB17="Y",MIN(AC17,Weights!$B$13),AC17)</f>
        <v>13</v>
      </c>
      <c r="AE17" s="20" t="str">
        <f aca="false">IF(AND(COUNT(D17:H17)&gt;0,COUNT(J17:O17)&gt;0),RANK(AD17,$AD$5:$AD$40),"")</f>
        <v/>
      </c>
      <c r="AF17" s="21"/>
    </row>
    <row r="18" customFormat="false" ht="15" hidden="false" customHeight="false" outlineLevel="0" collapsed="false">
      <c r="A18" s="12" t="s">
        <v>55</v>
      </c>
      <c r="B18" s="12" t="s">
        <v>82</v>
      </c>
      <c r="C18" s="13" t="s">
        <v>83</v>
      </c>
      <c r="D18" s="14"/>
      <c r="E18" s="14"/>
      <c r="F18" s="14"/>
      <c r="G18" s="14"/>
      <c r="H18" s="14"/>
      <c r="I18" s="15" t="n">
        <f aca="false">IF(COUNT(D18:H18)=0,0,AVERAGE(D18:H18)/5*Weights!$B$6)</f>
        <v>0</v>
      </c>
      <c r="J18" s="14"/>
      <c r="K18" s="14"/>
      <c r="L18" s="14"/>
      <c r="M18" s="14"/>
      <c r="N18" s="14"/>
      <c r="O18" s="14"/>
      <c r="P18" s="15" t="n">
        <f aca="false">IF(COUNT(J18:O18)=0,0,AVERAGE(J18:O18)/5*Weights!$B$7)</f>
        <v>0</v>
      </c>
      <c r="Q18" s="16" t="str">
        <f aca="false">IFERROR(IF(INDEX(Tasks!$K$5:$K$40,MATCH($B18,Tasks!$A$5:$A$40,0))="","",INDEX(Tasks!$K$5:$K$40,MATCH($B18,Tasks!$A$5:$A$40,0))*5),"")</f>
        <v/>
      </c>
      <c r="R18" s="14"/>
      <c r="S18" s="14"/>
      <c r="T18" s="15" t="n">
        <f aca="false">IF(COUNT(Q18:S18)=0,0,AVERAGE(Q18:S18)/5*Weights!$B$8)</f>
        <v>0</v>
      </c>
      <c r="U18" s="17" t="n">
        <f aca="false">IF(INDEX(Plugins!$F$5:$F$41,MATCH($B18,Plugins!$B$5:$B$41,0))&lt;=Weights!$B$16,5,IF(INDEX(Plugins!$F$5:$F$41,MATCH($B18,Plugins!$B$5:$B$41,0))&lt;=Weights!$B$17,4,IF(INDEX(Plugins!$F$5:$F$41,MATCH($B18,Plugins!$B$5:$B$41,0))&lt;=Weights!$B$18,3,IF(INDEX(Plugins!$F$5:$F$41,MATCH($B18,Plugins!$B$5:$B$41,0))&lt;=Weights!$B$19,2,1))))</f>
        <v>5</v>
      </c>
      <c r="V18" s="17" t="n">
        <f aca="false">IF(INDEX(Plugins!$D$5:$D$41,MATCH($B18,Plugins!$B$5:$B$41,0))&gt;=Weights!$B$22,5,IF(INDEX(Plugins!$D$5:$D$41,MATCH($B18,Plugins!$B$5:$B$41,0))&gt;=Weights!$B$23,4,IF(INDEX(Plugins!$D$5:$D$41,MATCH($B18,Plugins!$B$5:$B$41,0))&gt;=Weights!$B$24,3,IF(INDEX(Plugins!$D$5:$D$41,MATCH($B18,Plugins!$B$5:$B$41,0))&gt;=Weights!$B$25,2,1))))</f>
        <v>3</v>
      </c>
      <c r="W18" s="16" t="str">
        <f aca="false">IF(INDEX(Plugins!$H$5:$H$41,MATCH($B18,Plugins!$B$5:$B$41,0))=0,"",INDEX(Plugins!$G$5:$G$41,MATCH($B18,Plugins!$B$5:$B$41,0))/20)</f>
        <v/>
      </c>
      <c r="X18" s="17" t="n">
        <f aca="false">IF(INDEX(Plugins!$I$5:$I$41,MATCH($B18,Plugins!$B$5:$B$41,0))="Y",5,2)</f>
        <v>5</v>
      </c>
      <c r="Y18" s="14"/>
      <c r="Z18" s="14"/>
      <c r="AA18" s="15" t="n">
        <f aca="false">IF(COUNT(U18:Z18)=0,0,AVERAGE(U18:Z18)/5*Weights!$B$9)</f>
        <v>13</v>
      </c>
      <c r="AB18" s="18"/>
      <c r="AC18" s="19" t="n">
        <f aca="false">I18+P18+T18+AA18</f>
        <v>13</v>
      </c>
      <c r="AD18" s="19" t="n">
        <f aca="false">IF(AB18="Y",MIN(AC18,Weights!$B$13),AC18)</f>
        <v>13</v>
      </c>
      <c r="AE18" s="20" t="str">
        <f aca="false">IF(AND(COUNT(D18:H18)&gt;0,COUNT(J18:O18)&gt;0),RANK(AD18,$AD$5:$AD$40),"")</f>
        <v/>
      </c>
      <c r="AF18" s="21"/>
    </row>
    <row r="19" customFormat="false" ht="23.85" hidden="false" customHeight="false" outlineLevel="0" collapsed="false">
      <c r="A19" s="12" t="s">
        <v>55</v>
      </c>
      <c r="B19" s="12" t="s">
        <v>84</v>
      </c>
      <c r="C19" s="13" t="s">
        <v>85</v>
      </c>
      <c r="D19" s="14"/>
      <c r="E19" s="14"/>
      <c r="F19" s="14"/>
      <c r="G19" s="14"/>
      <c r="H19" s="14"/>
      <c r="I19" s="15" t="n">
        <f aca="false">IF(COUNT(D19:H19)=0,0,AVERAGE(D19:H19)/5*Weights!$B$6)</f>
        <v>0</v>
      </c>
      <c r="J19" s="14"/>
      <c r="K19" s="14"/>
      <c r="L19" s="14"/>
      <c r="M19" s="14"/>
      <c r="N19" s="14"/>
      <c r="O19" s="14"/>
      <c r="P19" s="15" t="n">
        <f aca="false">IF(COUNT(J19:O19)=0,0,AVERAGE(J19:O19)/5*Weights!$B$7)</f>
        <v>0</v>
      </c>
      <c r="Q19" s="16" t="str">
        <f aca="false">IFERROR(IF(INDEX(Tasks!$K$5:$K$40,MATCH($B19,Tasks!$A$5:$A$40,0))="","",INDEX(Tasks!$K$5:$K$40,MATCH($B19,Tasks!$A$5:$A$40,0))*5),"")</f>
        <v/>
      </c>
      <c r="R19" s="14"/>
      <c r="S19" s="14"/>
      <c r="T19" s="15" t="n">
        <f aca="false">IF(COUNT(Q19:S19)=0,0,AVERAGE(Q19:S19)/5*Weights!$B$8)</f>
        <v>0</v>
      </c>
      <c r="U19" s="17" t="n">
        <f aca="false">IF(INDEX(Plugins!$F$5:$F$41,MATCH($B19,Plugins!$B$5:$B$41,0))&lt;=Weights!$B$16,5,IF(INDEX(Plugins!$F$5:$F$41,MATCH($B19,Plugins!$B$5:$B$41,0))&lt;=Weights!$B$17,4,IF(INDEX(Plugins!$F$5:$F$41,MATCH($B19,Plugins!$B$5:$B$41,0))&lt;=Weights!$B$18,3,IF(INDEX(Plugins!$F$5:$F$41,MATCH($B19,Plugins!$B$5:$B$41,0))&lt;=Weights!$B$19,2,1))))</f>
        <v>5</v>
      </c>
      <c r="V19" s="17" t="n">
        <f aca="false">IF(INDEX(Plugins!$D$5:$D$41,MATCH($B19,Plugins!$B$5:$B$41,0))&gt;=Weights!$B$22,5,IF(INDEX(Plugins!$D$5:$D$41,MATCH($B19,Plugins!$B$5:$B$41,0))&gt;=Weights!$B$23,4,IF(INDEX(Plugins!$D$5:$D$41,MATCH($B19,Plugins!$B$5:$B$41,0))&gt;=Weights!$B$24,3,IF(INDEX(Plugins!$D$5:$D$41,MATCH($B19,Plugins!$B$5:$B$41,0))&gt;=Weights!$B$25,2,1))))</f>
        <v>3</v>
      </c>
      <c r="W19" s="16" t="n">
        <f aca="false">IF(INDEX(Plugins!$H$5:$H$41,MATCH($B19,Plugins!$B$5:$B$41,0))=0,"",INDEX(Plugins!$G$5:$G$41,MATCH($B19,Plugins!$B$5:$B$41,0))/20)</f>
        <v>5</v>
      </c>
      <c r="X19" s="17" t="n">
        <f aca="false">IF(INDEX(Plugins!$I$5:$I$41,MATCH($B19,Plugins!$B$5:$B$41,0))="Y",5,2)</f>
        <v>5</v>
      </c>
      <c r="Y19" s="14"/>
      <c r="Z19" s="14"/>
      <c r="AA19" s="15" t="n">
        <f aca="false">IF(COUNT(U19:Z19)=0,0,AVERAGE(U19:Z19)/5*Weights!$B$9)</f>
        <v>13.5</v>
      </c>
      <c r="AB19" s="18"/>
      <c r="AC19" s="19" t="n">
        <f aca="false">I19+P19+T19+AA19</f>
        <v>13.5</v>
      </c>
      <c r="AD19" s="19" t="n">
        <f aca="false">IF(AB19="Y",MIN(AC19,Weights!$B$13),AC19)</f>
        <v>13.5</v>
      </c>
      <c r="AE19" s="20" t="str">
        <f aca="false">IF(AND(COUNT(D19:H19)&gt;0,COUNT(J19:O19)&gt;0),RANK(AD19,$AD$5:$AD$40),"")</f>
        <v/>
      </c>
      <c r="AF19" s="21"/>
    </row>
    <row r="20" customFormat="false" ht="23.85" hidden="false" customHeight="false" outlineLevel="0" collapsed="false">
      <c r="A20" s="12" t="s">
        <v>55</v>
      </c>
      <c r="B20" s="12" t="s">
        <v>86</v>
      </c>
      <c r="C20" s="13" t="s">
        <v>87</v>
      </c>
      <c r="D20" s="14"/>
      <c r="E20" s="14"/>
      <c r="F20" s="14"/>
      <c r="G20" s="14"/>
      <c r="H20" s="14"/>
      <c r="I20" s="15" t="n">
        <f aca="false">IF(COUNT(D20:H20)=0,0,AVERAGE(D20:H20)/5*Weights!$B$6)</f>
        <v>0</v>
      </c>
      <c r="J20" s="14"/>
      <c r="K20" s="14"/>
      <c r="L20" s="14"/>
      <c r="M20" s="14"/>
      <c r="N20" s="14"/>
      <c r="O20" s="14"/>
      <c r="P20" s="15" t="n">
        <f aca="false">IF(COUNT(J20:O20)=0,0,AVERAGE(J20:O20)/5*Weights!$B$7)</f>
        <v>0</v>
      </c>
      <c r="Q20" s="16" t="str">
        <f aca="false">IFERROR(IF(INDEX(Tasks!$K$5:$K$40,MATCH($B20,Tasks!$A$5:$A$40,0))="","",INDEX(Tasks!$K$5:$K$40,MATCH($B20,Tasks!$A$5:$A$40,0))*5),"")</f>
        <v/>
      </c>
      <c r="R20" s="14"/>
      <c r="S20" s="14"/>
      <c r="T20" s="15" t="n">
        <f aca="false">IF(COUNT(Q20:S20)=0,0,AVERAGE(Q20:S20)/5*Weights!$B$8)</f>
        <v>0</v>
      </c>
      <c r="U20" s="17" t="n">
        <f aca="false">IF(INDEX(Plugins!$F$5:$F$41,MATCH($B20,Plugins!$B$5:$B$41,0))&lt;=Weights!$B$16,5,IF(INDEX(Plugins!$F$5:$F$41,MATCH($B20,Plugins!$B$5:$B$41,0))&lt;=Weights!$B$17,4,IF(INDEX(Plugins!$F$5:$F$41,MATCH($B20,Plugins!$B$5:$B$41,0))&lt;=Weights!$B$18,3,IF(INDEX(Plugins!$F$5:$F$41,MATCH($B20,Plugins!$B$5:$B$41,0))&lt;=Weights!$B$19,2,1))))</f>
        <v>4</v>
      </c>
      <c r="V20" s="17" t="n">
        <f aca="false">IF(INDEX(Plugins!$D$5:$D$41,MATCH($B20,Plugins!$B$5:$B$41,0))&gt;=Weights!$B$22,5,IF(INDEX(Plugins!$D$5:$D$41,MATCH($B20,Plugins!$B$5:$B$41,0))&gt;=Weights!$B$23,4,IF(INDEX(Plugins!$D$5:$D$41,MATCH($B20,Plugins!$B$5:$B$41,0))&gt;=Weights!$B$24,3,IF(INDEX(Plugins!$D$5:$D$41,MATCH($B20,Plugins!$B$5:$B$41,0))&gt;=Weights!$B$25,2,1))))</f>
        <v>3</v>
      </c>
      <c r="W20" s="16" t="n">
        <f aca="false">IF(INDEX(Plugins!$H$5:$H$41,MATCH($B20,Plugins!$B$5:$B$41,0))=0,"",INDEX(Plugins!$G$5:$G$41,MATCH($B20,Plugins!$B$5:$B$41,0))/20)</f>
        <v>5</v>
      </c>
      <c r="X20" s="17" t="n">
        <f aca="false">IF(INDEX(Plugins!$I$5:$I$41,MATCH($B20,Plugins!$B$5:$B$41,0))="Y",5,2)</f>
        <v>5</v>
      </c>
      <c r="Y20" s="14"/>
      <c r="Z20" s="14"/>
      <c r="AA20" s="15" t="n">
        <f aca="false">IF(COUNT(U20:Z20)=0,0,AVERAGE(U20:Z20)/5*Weights!$B$9)</f>
        <v>12.75</v>
      </c>
      <c r="AB20" s="18"/>
      <c r="AC20" s="19" t="n">
        <f aca="false">I20+P20+T20+AA20</f>
        <v>12.75</v>
      </c>
      <c r="AD20" s="19" t="n">
        <f aca="false">IF(AB20="Y",MIN(AC20,Weights!$B$13),AC20)</f>
        <v>12.75</v>
      </c>
      <c r="AE20" s="20" t="str">
        <f aca="false">IF(AND(COUNT(D20:H20)&gt;0,COUNT(J20:O20)&gt;0),RANK(AD20,$AD$5:$AD$40),"")</f>
        <v/>
      </c>
      <c r="AF20" s="21"/>
    </row>
    <row r="21" customFormat="false" ht="23.85" hidden="false" customHeight="false" outlineLevel="0" collapsed="false">
      <c r="A21" s="12" t="s">
        <v>55</v>
      </c>
      <c r="B21" s="12" t="s">
        <v>88</v>
      </c>
      <c r="C21" s="13" t="s">
        <v>89</v>
      </c>
      <c r="D21" s="14"/>
      <c r="E21" s="14"/>
      <c r="F21" s="14"/>
      <c r="G21" s="14"/>
      <c r="H21" s="14"/>
      <c r="I21" s="15" t="n">
        <f aca="false">IF(COUNT(D21:H21)=0,0,AVERAGE(D21:H21)/5*Weights!$B$6)</f>
        <v>0</v>
      </c>
      <c r="J21" s="14"/>
      <c r="K21" s="14"/>
      <c r="L21" s="14"/>
      <c r="M21" s="14"/>
      <c r="N21" s="14"/>
      <c r="O21" s="14"/>
      <c r="P21" s="15" t="n">
        <f aca="false">IF(COUNT(J21:O21)=0,0,AVERAGE(J21:O21)/5*Weights!$B$7)</f>
        <v>0</v>
      </c>
      <c r="Q21" s="16" t="str">
        <f aca="false">IFERROR(IF(INDEX(Tasks!$K$5:$K$40,MATCH($B21,Tasks!$A$5:$A$40,0))="","",INDEX(Tasks!$K$5:$K$40,MATCH($B21,Tasks!$A$5:$A$40,0))*5),"")</f>
        <v/>
      </c>
      <c r="R21" s="14"/>
      <c r="S21" s="14"/>
      <c r="T21" s="15" t="n">
        <f aca="false">IF(COUNT(Q21:S21)=0,0,AVERAGE(Q21:S21)/5*Weights!$B$8)</f>
        <v>0</v>
      </c>
      <c r="U21" s="17" t="n">
        <f aca="false">IF(INDEX(Plugins!$F$5:$F$41,MATCH($B21,Plugins!$B$5:$B$41,0))&lt;=Weights!$B$16,5,IF(INDEX(Plugins!$F$5:$F$41,MATCH($B21,Plugins!$B$5:$B$41,0))&lt;=Weights!$B$17,4,IF(INDEX(Plugins!$F$5:$F$41,MATCH($B21,Plugins!$B$5:$B$41,0))&lt;=Weights!$B$18,3,IF(INDEX(Plugins!$F$5:$F$41,MATCH($B21,Plugins!$B$5:$B$41,0))&lt;=Weights!$B$19,2,1))))</f>
        <v>5</v>
      </c>
      <c r="V21" s="17" t="n">
        <f aca="false">IF(INDEX(Plugins!$D$5:$D$41,MATCH($B21,Plugins!$B$5:$B$41,0))&gt;=Weights!$B$22,5,IF(INDEX(Plugins!$D$5:$D$41,MATCH($B21,Plugins!$B$5:$B$41,0))&gt;=Weights!$B$23,4,IF(INDEX(Plugins!$D$5:$D$41,MATCH($B21,Plugins!$B$5:$B$41,0))&gt;=Weights!$B$24,3,IF(INDEX(Plugins!$D$5:$D$41,MATCH($B21,Plugins!$B$5:$B$41,0))&gt;=Weights!$B$25,2,1))))</f>
        <v>4</v>
      </c>
      <c r="W21" s="16" t="n">
        <f aca="false">IF(INDEX(Plugins!$H$5:$H$41,MATCH($B21,Plugins!$B$5:$B$41,0))=0,"",INDEX(Plugins!$G$5:$G$41,MATCH($B21,Plugins!$B$5:$B$41,0))/20)</f>
        <v>5</v>
      </c>
      <c r="X21" s="17" t="n">
        <f aca="false">IF(INDEX(Plugins!$I$5:$I$41,MATCH($B21,Plugins!$B$5:$B$41,0))="Y",5,2)</f>
        <v>5</v>
      </c>
      <c r="Y21" s="14"/>
      <c r="Z21" s="14"/>
      <c r="AA21" s="15" t="n">
        <f aca="false">IF(COUNT(U21:Z21)=0,0,AVERAGE(U21:Z21)/5*Weights!$B$9)</f>
        <v>14.25</v>
      </c>
      <c r="AB21" s="18"/>
      <c r="AC21" s="19" t="n">
        <f aca="false">I21+P21+T21+AA21</f>
        <v>14.25</v>
      </c>
      <c r="AD21" s="19" t="n">
        <f aca="false">IF(AB21="Y",MIN(AC21,Weights!$B$13),AC21)</f>
        <v>14.25</v>
      </c>
      <c r="AE21" s="20" t="str">
        <f aca="false">IF(AND(COUNT(D21:H21)&gt;0,COUNT(J21:O21)&gt;0),RANK(AD21,$AD$5:$AD$40),"")</f>
        <v/>
      </c>
      <c r="AF21" s="21"/>
    </row>
    <row r="22" customFormat="false" ht="15" hidden="false" customHeight="false" outlineLevel="0" collapsed="false">
      <c r="A22" s="12" t="s">
        <v>55</v>
      </c>
      <c r="B22" s="12" t="s">
        <v>90</v>
      </c>
      <c r="C22" s="13" t="s">
        <v>91</v>
      </c>
      <c r="D22" s="14"/>
      <c r="E22" s="14"/>
      <c r="F22" s="14"/>
      <c r="G22" s="14"/>
      <c r="H22" s="14"/>
      <c r="I22" s="15" t="n">
        <f aca="false">IF(COUNT(D22:H22)=0,0,AVERAGE(D22:H22)/5*Weights!$B$6)</f>
        <v>0</v>
      </c>
      <c r="J22" s="14"/>
      <c r="K22" s="14"/>
      <c r="L22" s="14"/>
      <c r="M22" s="14"/>
      <c r="N22" s="14"/>
      <c r="O22" s="14"/>
      <c r="P22" s="15" t="n">
        <f aca="false">IF(COUNT(J22:O22)=0,0,AVERAGE(J22:O22)/5*Weights!$B$7)</f>
        <v>0</v>
      </c>
      <c r="Q22" s="16" t="str">
        <f aca="false">IFERROR(IF(INDEX(Tasks!$K$5:$K$40,MATCH($B22,Tasks!$A$5:$A$40,0))="","",INDEX(Tasks!$K$5:$K$40,MATCH($B22,Tasks!$A$5:$A$40,0))*5),"")</f>
        <v/>
      </c>
      <c r="R22" s="14"/>
      <c r="S22" s="14"/>
      <c r="T22" s="15" t="n">
        <f aca="false">IF(COUNT(Q22:S22)=0,0,AVERAGE(Q22:S22)/5*Weights!$B$8)</f>
        <v>0</v>
      </c>
      <c r="U22" s="17" t="n">
        <f aca="false">IF(INDEX(Plugins!$F$5:$F$41,MATCH($B22,Plugins!$B$5:$B$41,0))&lt;=Weights!$B$16,5,IF(INDEX(Plugins!$F$5:$F$41,MATCH($B22,Plugins!$B$5:$B$41,0))&lt;=Weights!$B$17,4,IF(INDEX(Plugins!$F$5:$F$41,MATCH($B22,Plugins!$B$5:$B$41,0))&lt;=Weights!$B$18,3,IF(INDEX(Plugins!$F$5:$F$41,MATCH($B22,Plugins!$B$5:$B$41,0))&lt;=Weights!$B$19,2,1))))</f>
        <v>4</v>
      </c>
      <c r="V22" s="17" t="n">
        <f aca="false">IF(INDEX(Plugins!$D$5:$D$41,MATCH($B22,Plugins!$B$5:$B$41,0))&gt;=Weights!$B$22,5,IF(INDEX(Plugins!$D$5:$D$41,MATCH($B22,Plugins!$B$5:$B$41,0))&gt;=Weights!$B$23,4,IF(INDEX(Plugins!$D$5:$D$41,MATCH($B22,Plugins!$B$5:$B$41,0))&gt;=Weights!$B$24,3,IF(INDEX(Plugins!$D$5:$D$41,MATCH($B22,Plugins!$B$5:$B$41,0))&gt;=Weights!$B$25,2,1))))</f>
        <v>4</v>
      </c>
      <c r="W22" s="16" t="str">
        <f aca="false">IF(INDEX(Plugins!$H$5:$H$41,MATCH($B22,Plugins!$B$5:$B$41,0))=0,"",INDEX(Plugins!$G$5:$G$41,MATCH($B22,Plugins!$B$5:$B$41,0))/20)</f>
        <v/>
      </c>
      <c r="X22" s="17" t="n">
        <f aca="false">IF(INDEX(Plugins!$I$5:$I$41,MATCH($B22,Plugins!$B$5:$B$41,0))="Y",5,2)</f>
        <v>5</v>
      </c>
      <c r="Y22" s="14"/>
      <c r="Z22" s="14"/>
      <c r="AA22" s="15" t="n">
        <f aca="false">IF(COUNT(U22:Z22)=0,0,AVERAGE(U22:Z22)/5*Weights!$B$9)</f>
        <v>13</v>
      </c>
      <c r="AB22" s="18"/>
      <c r="AC22" s="19" t="n">
        <f aca="false">I22+P22+T22+AA22</f>
        <v>13</v>
      </c>
      <c r="AD22" s="19" t="n">
        <f aca="false">IF(AB22="Y",MIN(AC22,Weights!$B$13),AC22)</f>
        <v>13</v>
      </c>
      <c r="AE22" s="20" t="str">
        <f aca="false">IF(AND(COUNT(D22:H22)&gt;0,COUNT(J22:O22)&gt;0),RANK(AD22,$AD$5:$AD$40),"")</f>
        <v/>
      </c>
      <c r="AF22" s="21"/>
    </row>
    <row r="23" customFormat="false" ht="15" hidden="false" customHeight="false" outlineLevel="0" collapsed="false">
      <c r="A23" s="12" t="s">
        <v>92</v>
      </c>
      <c r="B23" s="12" t="s">
        <v>93</v>
      </c>
      <c r="C23" s="13" t="s">
        <v>94</v>
      </c>
      <c r="D23" s="14"/>
      <c r="E23" s="14"/>
      <c r="F23" s="14"/>
      <c r="G23" s="14"/>
      <c r="H23" s="14"/>
      <c r="I23" s="15" t="n">
        <f aca="false">IF(COUNT(D23:H23)=0,0,AVERAGE(D23:H23)/5*Weights!$B$6)</f>
        <v>0</v>
      </c>
      <c r="J23" s="14"/>
      <c r="K23" s="14"/>
      <c r="L23" s="14"/>
      <c r="M23" s="14"/>
      <c r="N23" s="14"/>
      <c r="O23" s="14"/>
      <c r="P23" s="15" t="n">
        <f aca="false">IF(COUNT(J23:O23)=0,0,AVERAGE(J23:O23)/5*Weights!$B$7)</f>
        <v>0</v>
      </c>
      <c r="Q23" s="16" t="str">
        <f aca="false">IFERROR(IF(INDEX(Tasks!$K$5:$K$40,MATCH($B23,Tasks!$A$5:$A$40,0))="","",INDEX(Tasks!$K$5:$K$40,MATCH($B23,Tasks!$A$5:$A$40,0))*5),"")</f>
        <v/>
      </c>
      <c r="R23" s="14"/>
      <c r="S23" s="14"/>
      <c r="T23" s="15" t="n">
        <f aca="false">IF(COUNT(Q23:S23)=0,0,AVERAGE(Q23:S23)/5*Weights!$B$8)</f>
        <v>0</v>
      </c>
      <c r="U23" s="17" t="n">
        <f aca="false">IF(INDEX(Plugins!$F$5:$F$41,MATCH($B23,Plugins!$B$5:$B$41,0))&lt;=Weights!$B$16,5,IF(INDEX(Plugins!$F$5:$F$41,MATCH($B23,Plugins!$B$5:$B$41,0))&lt;=Weights!$B$17,4,IF(INDEX(Plugins!$F$5:$F$41,MATCH($B23,Plugins!$B$5:$B$41,0))&lt;=Weights!$B$18,3,IF(INDEX(Plugins!$F$5:$F$41,MATCH($B23,Plugins!$B$5:$B$41,0))&lt;=Weights!$B$19,2,1))))</f>
        <v>5</v>
      </c>
      <c r="V23" s="17" t="n">
        <f aca="false">IF(INDEX(Plugins!$D$5:$D$41,MATCH($B23,Plugins!$B$5:$B$41,0))&gt;=Weights!$B$22,5,IF(INDEX(Plugins!$D$5:$D$41,MATCH($B23,Plugins!$B$5:$B$41,0))&gt;=Weights!$B$23,4,IF(INDEX(Plugins!$D$5:$D$41,MATCH($B23,Plugins!$B$5:$B$41,0))&gt;=Weights!$B$24,3,IF(INDEX(Plugins!$D$5:$D$41,MATCH($B23,Plugins!$B$5:$B$41,0))&gt;=Weights!$B$25,2,1))))</f>
        <v>2</v>
      </c>
      <c r="W23" s="16" t="n">
        <f aca="false">IF(INDEX(Plugins!$H$5:$H$41,MATCH($B23,Plugins!$B$5:$B$41,0))=0,"",INDEX(Plugins!$G$5:$G$41,MATCH($B23,Plugins!$B$5:$B$41,0))/20)</f>
        <v>5</v>
      </c>
      <c r="X23" s="17" t="n">
        <f aca="false">IF(INDEX(Plugins!$I$5:$I$41,MATCH($B23,Plugins!$B$5:$B$41,0))="Y",5,2)</f>
        <v>5</v>
      </c>
      <c r="Y23" s="14"/>
      <c r="Z23" s="14"/>
      <c r="AA23" s="15" t="n">
        <f aca="false">IF(COUNT(U23:Z23)=0,0,AVERAGE(U23:Z23)/5*Weights!$B$9)</f>
        <v>12.75</v>
      </c>
      <c r="AB23" s="18"/>
      <c r="AC23" s="19" t="n">
        <f aca="false">I23+P23+T23+AA23</f>
        <v>12.75</v>
      </c>
      <c r="AD23" s="19" t="n">
        <f aca="false">IF(AB23="Y",MIN(AC23,Weights!$B$13),AC23)</f>
        <v>12.75</v>
      </c>
      <c r="AE23" s="20" t="str">
        <f aca="false">IF(AND(COUNT(D23:H23)&gt;0,COUNT(J23:O23)&gt;0),RANK(AD23,$AD$5:$AD$40),"")</f>
        <v/>
      </c>
      <c r="AF23" s="21"/>
    </row>
    <row r="24" customFormat="false" ht="35.05" hidden="false" customHeight="false" outlineLevel="0" collapsed="false">
      <c r="A24" s="12" t="s">
        <v>92</v>
      </c>
      <c r="B24" s="12" t="s">
        <v>95</v>
      </c>
      <c r="C24" s="13" t="s">
        <v>96</v>
      </c>
      <c r="D24" s="14"/>
      <c r="E24" s="14"/>
      <c r="F24" s="14"/>
      <c r="G24" s="14"/>
      <c r="H24" s="14"/>
      <c r="I24" s="15" t="n">
        <f aca="false">IF(COUNT(D24:H24)=0,0,AVERAGE(D24:H24)/5*Weights!$B$6)</f>
        <v>0</v>
      </c>
      <c r="J24" s="14"/>
      <c r="K24" s="14"/>
      <c r="L24" s="14"/>
      <c r="M24" s="14"/>
      <c r="N24" s="14"/>
      <c r="O24" s="14"/>
      <c r="P24" s="15" t="n">
        <f aca="false">IF(COUNT(J24:O24)=0,0,AVERAGE(J24:O24)/5*Weights!$B$7)</f>
        <v>0</v>
      </c>
      <c r="Q24" s="16" t="str">
        <f aca="false">IFERROR(IF(INDEX(Tasks!$K$5:$K$40,MATCH($B24,Tasks!$A$5:$A$40,0))="","",INDEX(Tasks!$K$5:$K$40,MATCH($B24,Tasks!$A$5:$A$40,0))*5),"")</f>
        <v/>
      </c>
      <c r="R24" s="14"/>
      <c r="S24" s="14"/>
      <c r="T24" s="15" t="n">
        <f aca="false">IF(COUNT(Q24:S24)=0,0,AVERAGE(Q24:S24)/5*Weights!$B$8)</f>
        <v>0</v>
      </c>
      <c r="U24" s="17" t="n">
        <f aca="false">IF(INDEX(Plugins!$F$5:$F$41,MATCH($B24,Plugins!$B$5:$B$41,0))&lt;=Weights!$B$16,5,IF(INDEX(Plugins!$F$5:$F$41,MATCH($B24,Plugins!$B$5:$B$41,0))&lt;=Weights!$B$17,4,IF(INDEX(Plugins!$F$5:$F$41,MATCH($B24,Plugins!$B$5:$B$41,0))&lt;=Weights!$B$18,3,IF(INDEX(Plugins!$F$5:$F$41,MATCH($B24,Plugins!$B$5:$B$41,0))&lt;=Weights!$B$19,2,1))))</f>
        <v>5</v>
      </c>
      <c r="V24" s="17" t="n">
        <f aca="false">IF(INDEX(Plugins!$D$5:$D$41,MATCH($B24,Plugins!$B$5:$B$41,0))&gt;=Weights!$B$22,5,IF(INDEX(Plugins!$D$5:$D$41,MATCH($B24,Plugins!$B$5:$B$41,0))&gt;=Weights!$B$23,4,IF(INDEX(Plugins!$D$5:$D$41,MATCH($B24,Plugins!$B$5:$B$41,0))&gt;=Weights!$B$24,3,IF(INDEX(Plugins!$D$5:$D$41,MATCH($B24,Plugins!$B$5:$B$41,0))&gt;=Weights!$B$25,2,1))))</f>
        <v>2</v>
      </c>
      <c r="W24" s="16" t="n">
        <f aca="false">IF(INDEX(Plugins!$H$5:$H$41,MATCH($B24,Plugins!$B$5:$B$41,0))=0,"",INDEX(Plugins!$G$5:$G$41,MATCH($B24,Plugins!$B$5:$B$41,0))/20)</f>
        <v>5</v>
      </c>
      <c r="X24" s="17" t="n">
        <f aca="false">IF(INDEX(Plugins!$I$5:$I$41,MATCH($B24,Plugins!$B$5:$B$41,0))="Y",5,2)</f>
        <v>5</v>
      </c>
      <c r="Y24" s="14"/>
      <c r="Z24" s="14"/>
      <c r="AA24" s="15" t="n">
        <f aca="false">IF(COUNT(U24:Z24)=0,0,AVERAGE(U24:Z24)/5*Weights!$B$9)</f>
        <v>12.75</v>
      </c>
      <c r="AB24" s="18"/>
      <c r="AC24" s="19" t="n">
        <f aca="false">I24+P24+T24+AA24</f>
        <v>12.75</v>
      </c>
      <c r="AD24" s="19" t="n">
        <f aca="false">IF(AB24="Y",MIN(AC24,Weights!$B$13),AC24)</f>
        <v>12.75</v>
      </c>
      <c r="AE24" s="20" t="str">
        <f aca="false">IF(AND(COUNT(D24:H24)&gt;0,COUNT(J24:O24)&gt;0),RANK(AD24,$AD$5:$AD$40),"")</f>
        <v/>
      </c>
      <c r="AF24" s="21"/>
    </row>
    <row r="25" customFormat="false" ht="23.85" hidden="false" customHeight="false" outlineLevel="0" collapsed="false">
      <c r="A25" s="12" t="s">
        <v>92</v>
      </c>
      <c r="B25" s="12" t="s">
        <v>97</v>
      </c>
      <c r="C25" s="13" t="s">
        <v>98</v>
      </c>
      <c r="D25" s="14"/>
      <c r="E25" s="14"/>
      <c r="F25" s="14"/>
      <c r="G25" s="14"/>
      <c r="H25" s="14"/>
      <c r="I25" s="15" t="n">
        <f aca="false">IF(COUNT(D25:H25)=0,0,AVERAGE(D25:H25)/5*Weights!$B$6)</f>
        <v>0</v>
      </c>
      <c r="J25" s="14"/>
      <c r="K25" s="14"/>
      <c r="L25" s="14"/>
      <c r="M25" s="14"/>
      <c r="N25" s="14"/>
      <c r="O25" s="14"/>
      <c r="P25" s="15" t="n">
        <f aca="false">IF(COUNT(J25:O25)=0,0,AVERAGE(J25:O25)/5*Weights!$B$7)</f>
        <v>0</v>
      </c>
      <c r="Q25" s="16" t="str">
        <f aca="false">IFERROR(IF(INDEX(Tasks!$K$5:$K$40,MATCH($B25,Tasks!$A$5:$A$40,0))="","",INDEX(Tasks!$K$5:$K$40,MATCH($B25,Tasks!$A$5:$A$40,0))*5),"")</f>
        <v/>
      </c>
      <c r="R25" s="14"/>
      <c r="S25" s="14"/>
      <c r="T25" s="15" t="n">
        <f aca="false">IF(COUNT(Q25:S25)=0,0,AVERAGE(Q25:S25)/5*Weights!$B$8)</f>
        <v>0</v>
      </c>
      <c r="U25" s="17" t="n">
        <f aca="false">IF(INDEX(Plugins!$F$5:$F$41,MATCH($B25,Plugins!$B$5:$B$41,0))&lt;=Weights!$B$16,5,IF(INDEX(Plugins!$F$5:$F$41,MATCH($B25,Plugins!$B$5:$B$41,0))&lt;=Weights!$B$17,4,IF(INDEX(Plugins!$F$5:$F$41,MATCH($B25,Plugins!$B$5:$B$41,0))&lt;=Weights!$B$18,3,IF(INDEX(Plugins!$F$5:$F$41,MATCH($B25,Plugins!$B$5:$B$41,0))&lt;=Weights!$B$19,2,1))))</f>
        <v>5</v>
      </c>
      <c r="V25" s="17" t="n">
        <f aca="false">IF(INDEX(Plugins!$D$5:$D$41,MATCH($B25,Plugins!$B$5:$B$41,0))&gt;=Weights!$B$22,5,IF(INDEX(Plugins!$D$5:$D$41,MATCH($B25,Plugins!$B$5:$B$41,0))&gt;=Weights!$B$23,4,IF(INDEX(Plugins!$D$5:$D$41,MATCH($B25,Plugins!$B$5:$B$41,0))&gt;=Weights!$B$24,3,IF(INDEX(Plugins!$D$5:$D$41,MATCH($B25,Plugins!$B$5:$B$41,0))&gt;=Weights!$B$25,2,1))))</f>
        <v>2</v>
      </c>
      <c r="W25" s="16" t="n">
        <f aca="false">IF(INDEX(Plugins!$H$5:$H$41,MATCH($B25,Plugins!$B$5:$B$41,0))=0,"",INDEX(Plugins!$G$5:$G$41,MATCH($B25,Plugins!$B$5:$B$41,0))/20)</f>
        <v>5</v>
      </c>
      <c r="X25" s="17" t="n">
        <f aca="false">IF(INDEX(Plugins!$I$5:$I$41,MATCH($B25,Plugins!$B$5:$B$41,0))="Y",5,2)</f>
        <v>5</v>
      </c>
      <c r="Y25" s="14"/>
      <c r="Z25" s="14"/>
      <c r="AA25" s="15" t="n">
        <f aca="false">IF(COUNT(U25:Z25)=0,0,AVERAGE(U25:Z25)/5*Weights!$B$9)</f>
        <v>12.75</v>
      </c>
      <c r="AB25" s="18"/>
      <c r="AC25" s="19" t="n">
        <f aca="false">I25+P25+T25+AA25</f>
        <v>12.75</v>
      </c>
      <c r="AD25" s="19" t="n">
        <f aca="false">IF(AB25="Y",MIN(AC25,Weights!$B$13),AC25)</f>
        <v>12.75</v>
      </c>
      <c r="AE25" s="20" t="str">
        <f aca="false">IF(AND(COUNT(D25:H25)&gt;0,COUNT(J25:O25)&gt;0),RANK(AD25,$AD$5:$AD$40),"")</f>
        <v/>
      </c>
      <c r="AF25" s="21"/>
    </row>
    <row r="26" customFormat="false" ht="15" hidden="false" customHeight="false" outlineLevel="0" collapsed="false">
      <c r="A26" s="12" t="s">
        <v>92</v>
      </c>
      <c r="B26" s="12" t="s">
        <v>99</v>
      </c>
      <c r="C26" s="13" t="s">
        <v>100</v>
      </c>
      <c r="D26" s="14"/>
      <c r="E26" s="14"/>
      <c r="F26" s="14"/>
      <c r="G26" s="14"/>
      <c r="H26" s="14"/>
      <c r="I26" s="15" t="n">
        <f aca="false">IF(COUNT(D26:H26)=0,0,AVERAGE(D26:H26)/5*Weights!$B$6)</f>
        <v>0</v>
      </c>
      <c r="J26" s="14"/>
      <c r="K26" s="14"/>
      <c r="L26" s="14"/>
      <c r="M26" s="14"/>
      <c r="N26" s="14"/>
      <c r="O26" s="14"/>
      <c r="P26" s="15" t="n">
        <f aca="false">IF(COUNT(J26:O26)=0,0,AVERAGE(J26:O26)/5*Weights!$B$7)</f>
        <v>0</v>
      </c>
      <c r="Q26" s="16" t="str">
        <f aca="false">IFERROR(IF(INDEX(Tasks!$K$5:$K$40,MATCH($B26,Tasks!$A$5:$A$40,0))="","",INDEX(Tasks!$K$5:$K$40,MATCH($B26,Tasks!$A$5:$A$40,0))*5),"")</f>
        <v/>
      </c>
      <c r="R26" s="14"/>
      <c r="S26" s="14"/>
      <c r="T26" s="15" t="n">
        <f aca="false">IF(COUNT(Q26:S26)=0,0,AVERAGE(Q26:S26)/5*Weights!$B$8)</f>
        <v>0</v>
      </c>
      <c r="U26" s="17" t="n">
        <f aca="false">IF(INDEX(Plugins!$F$5:$F$41,MATCH($B26,Plugins!$B$5:$B$41,0))&lt;=Weights!$B$16,5,IF(INDEX(Plugins!$F$5:$F$41,MATCH($B26,Plugins!$B$5:$B$41,0))&lt;=Weights!$B$17,4,IF(INDEX(Plugins!$F$5:$F$41,MATCH($B26,Plugins!$B$5:$B$41,0))&lt;=Weights!$B$18,3,IF(INDEX(Plugins!$F$5:$F$41,MATCH($B26,Plugins!$B$5:$B$41,0))&lt;=Weights!$B$19,2,1))))</f>
        <v>5</v>
      </c>
      <c r="V26" s="17" t="n">
        <f aca="false">IF(INDEX(Plugins!$D$5:$D$41,MATCH($B26,Plugins!$B$5:$B$41,0))&gt;=Weights!$B$22,5,IF(INDEX(Plugins!$D$5:$D$41,MATCH($B26,Plugins!$B$5:$B$41,0))&gt;=Weights!$B$23,4,IF(INDEX(Plugins!$D$5:$D$41,MATCH($B26,Plugins!$B$5:$B$41,0))&gt;=Weights!$B$24,3,IF(INDEX(Plugins!$D$5:$D$41,MATCH($B26,Plugins!$B$5:$B$41,0))&gt;=Weights!$B$25,2,1))))</f>
        <v>2</v>
      </c>
      <c r="W26" s="16" t="str">
        <f aca="false">IF(INDEX(Plugins!$H$5:$H$41,MATCH($B26,Plugins!$B$5:$B$41,0))=0,"",INDEX(Plugins!$G$5:$G$41,MATCH($B26,Plugins!$B$5:$B$41,0))/20)</f>
        <v/>
      </c>
      <c r="X26" s="17" t="n">
        <f aca="false">IF(INDEX(Plugins!$I$5:$I$41,MATCH($B26,Plugins!$B$5:$B$41,0))="Y",5,2)</f>
        <v>5</v>
      </c>
      <c r="Y26" s="14"/>
      <c r="Z26" s="14"/>
      <c r="AA26" s="15" t="n">
        <f aca="false">IF(COUNT(U26:Z26)=0,0,AVERAGE(U26:Z26)/5*Weights!$B$9)</f>
        <v>12</v>
      </c>
      <c r="AB26" s="18"/>
      <c r="AC26" s="19" t="n">
        <f aca="false">I26+P26+T26+AA26</f>
        <v>12</v>
      </c>
      <c r="AD26" s="19" t="n">
        <f aca="false">IF(AB26="Y",MIN(AC26,Weights!$B$13),AC26)</f>
        <v>12</v>
      </c>
      <c r="AE26" s="20" t="str">
        <f aca="false">IF(AND(COUNT(D26:H26)&gt;0,COUNT(J26:O26)&gt;0),RANK(AD26,$AD$5:$AD$40),"")</f>
        <v/>
      </c>
      <c r="AF26" s="21"/>
    </row>
    <row r="27" customFormat="false" ht="23.85" hidden="false" customHeight="false" outlineLevel="0" collapsed="false">
      <c r="A27" s="12" t="s">
        <v>92</v>
      </c>
      <c r="B27" s="12" t="s">
        <v>101</v>
      </c>
      <c r="C27" s="13" t="s">
        <v>102</v>
      </c>
      <c r="D27" s="14"/>
      <c r="E27" s="14"/>
      <c r="F27" s="14"/>
      <c r="G27" s="14"/>
      <c r="H27" s="14"/>
      <c r="I27" s="15" t="n">
        <f aca="false">IF(COUNT(D27:H27)=0,0,AVERAGE(D27:H27)/5*Weights!$B$6)</f>
        <v>0</v>
      </c>
      <c r="J27" s="14"/>
      <c r="K27" s="14"/>
      <c r="L27" s="14"/>
      <c r="M27" s="14"/>
      <c r="N27" s="14"/>
      <c r="O27" s="14"/>
      <c r="P27" s="15" t="n">
        <f aca="false">IF(COUNT(J27:O27)=0,0,AVERAGE(J27:O27)/5*Weights!$B$7)</f>
        <v>0</v>
      </c>
      <c r="Q27" s="16" t="str">
        <f aca="false">IFERROR(IF(INDEX(Tasks!$K$5:$K$40,MATCH($B27,Tasks!$A$5:$A$40,0))="","",INDEX(Tasks!$K$5:$K$40,MATCH($B27,Tasks!$A$5:$A$40,0))*5),"")</f>
        <v/>
      </c>
      <c r="R27" s="14"/>
      <c r="S27" s="14"/>
      <c r="T27" s="15" t="n">
        <f aca="false">IF(COUNT(Q27:S27)=0,0,AVERAGE(Q27:S27)/5*Weights!$B$8)</f>
        <v>0</v>
      </c>
      <c r="U27" s="17" t="n">
        <f aca="false">IF(INDEX(Plugins!$F$5:$F$41,MATCH($B27,Plugins!$B$5:$B$41,0))&lt;=Weights!$B$16,5,IF(INDEX(Plugins!$F$5:$F$41,MATCH($B27,Plugins!$B$5:$B$41,0))&lt;=Weights!$B$17,4,IF(INDEX(Plugins!$F$5:$F$41,MATCH($B27,Plugins!$B$5:$B$41,0))&lt;=Weights!$B$18,3,IF(INDEX(Plugins!$F$5:$F$41,MATCH($B27,Plugins!$B$5:$B$41,0))&lt;=Weights!$B$19,2,1))))</f>
        <v>5</v>
      </c>
      <c r="V27" s="17" t="n">
        <f aca="false">IF(INDEX(Plugins!$D$5:$D$41,MATCH($B27,Plugins!$B$5:$B$41,0))&gt;=Weights!$B$22,5,IF(INDEX(Plugins!$D$5:$D$41,MATCH($B27,Plugins!$B$5:$B$41,0))&gt;=Weights!$B$23,4,IF(INDEX(Plugins!$D$5:$D$41,MATCH($B27,Plugins!$B$5:$B$41,0))&gt;=Weights!$B$24,3,IF(INDEX(Plugins!$D$5:$D$41,MATCH($B27,Plugins!$B$5:$B$41,0))&gt;=Weights!$B$25,2,1))))</f>
        <v>2</v>
      </c>
      <c r="W27" s="16" t="str">
        <f aca="false">IF(INDEX(Plugins!$H$5:$H$41,MATCH($B27,Plugins!$B$5:$B$41,0))=0,"",INDEX(Plugins!$G$5:$G$41,MATCH($B27,Plugins!$B$5:$B$41,0))/20)</f>
        <v/>
      </c>
      <c r="X27" s="17" t="n">
        <f aca="false">IF(INDEX(Plugins!$I$5:$I$41,MATCH($B27,Plugins!$B$5:$B$41,0))="Y",5,2)</f>
        <v>5</v>
      </c>
      <c r="Y27" s="14"/>
      <c r="Z27" s="14"/>
      <c r="AA27" s="15" t="n">
        <f aca="false">IF(COUNT(U27:Z27)=0,0,AVERAGE(U27:Z27)/5*Weights!$B$9)</f>
        <v>12</v>
      </c>
      <c r="AB27" s="18"/>
      <c r="AC27" s="19" t="n">
        <f aca="false">I27+P27+T27+AA27</f>
        <v>12</v>
      </c>
      <c r="AD27" s="19" t="n">
        <f aca="false">IF(AB27="Y",MIN(AC27,Weights!$B$13),AC27)</f>
        <v>12</v>
      </c>
      <c r="AE27" s="20" t="str">
        <f aca="false">IF(AND(COUNT(D27:H27)&gt;0,COUNT(J27:O27)&gt;0),RANK(AD27,$AD$5:$AD$40),"")</f>
        <v/>
      </c>
      <c r="AF27" s="21"/>
    </row>
    <row r="28" customFormat="false" ht="23.85" hidden="false" customHeight="false" outlineLevel="0" collapsed="false">
      <c r="A28" s="12" t="s">
        <v>92</v>
      </c>
      <c r="B28" s="12" t="s">
        <v>103</v>
      </c>
      <c r="C28" s="13" t="s">
        <v>104</v>
      </c>
      <c r="D28" s="14"/>
      <c r="E28" s="14"/>
      <c r="F28" s="14"/>
      <c r="G28" s="14"/>
      <c r="H28" s="14"/>
      <c r="I28" s="15" t="n">
        <f aca="false">IF(COUNT(D28:H28)=0,0,AVERAGE(D28:H28)/5*Weights!$B$6)</f>
        <v>0</v>
      </c>
      <c r="J28" s="14"/>
      <c r="K28" s="14"/>
      <c r="L28" s="14"/>
      <c r="M28" s="14"/>
      <c r="N28" s="14"/>
      <c r="O28" s="14"/>
      <c r="P28" s="15" t="n">
        <f aca="false">IF(COUNT(J28:O28)=0,0,AVERAGE(J28:O28)/5*Weights!$B$7)</f>
        <v>0</v>
      </c>
      <c r="Q28" s="16" t="str">
        <f aca="false">IFERROR(IF(INDEX(Tasks!$K$5:$K$40,MATCH($B28,Tasks!$A$5:$A$40,0))="","",INDEX(Tasks!$K$5:$K$40,MATCH($B28,Tasks!$A$5:$A$40,0))*5),"")</f>
        <v/>
      </c>
      <c r="R28" s="14"/>
      <c r="S28" s="14"/>
      <c r="T28" s="15" t="n">
        <f aca="false">IF(COUNT(Q28:S28)=0,0,AVERAGE(Q28:S28)/5*Weights!$B$8)</f>
        <v>0</v>
      </c>
      <c r="U28" s="17" t="n">
        <f aca="false">IF(INDEX(Plugins!$F$5:$F$41,MATCH($B28,Plugins!$B$5:$B$41,0))&lt;=Weights!$B$16,5,IF(INDEX(Plugins!$F$5:$F$41,MATCH($B28,Plugins!$B$5:$B$41,0))&lt;=Weights!$B$17,4,IF(INDEX(Plugins!$F$5:$F$41,MATCH($B28,Plugins!$B$5:$B$41,0))&lt;=Weights!$B$18,3,IF(INDEX(Plugins!$F$5:$F$41,MATCH($B28,Plugins!$B$5:$B$41,0))&lt;=Weights!$B$19,2,1))))</f>
        <v>5</v>
      </c>
      <c r="V28" s="17" t="n">
        <f aca="false">IF(INDEX(Plugins!$D$5:$D$41,MATCH($B28,Plugins!$B$5:$B$41,0))&gt;=Weights!$B$22,5,IF(INDEX(Plugins!$D$5:$D$41,MATCH($B28,Plugins!$B$5:$B$41,0))&gt;=Weights!$B$23,4,IF(INDEX(Plugins!$D$5:$D$41,MATCH($B28,Plugins!$B$5:$B$41,0))&gt;=Weights!$B$24,3,IF(INDEX(Plugins!$D$5:$D$41,MATCH($B28,Plugins!$B$5:$B$41,0))&gt;=Weights!$B$25,2,1))))</f>
        <v>1</v>
      </c>
      <c r="W28" s="16" t="str">
        <f aca="false">IF(INDEX(Plugins!$H$5:$H$41,MATCH($B28,Plugins!$B$5:$B$41,0))=0,"",INDEX(Plugins!$G$5:$G$41,MATCH($B28,Plugins!$B$5:$B$41,0))/20)</f>
        <v/>
      </c>
      <c r="X28" s="17" t="n">
        <f aca="false">IF(INDEX(Plugins!$I$5:$I$41,MATCH($B28,Plugins!$B$5:$B$41,0))="Y",5,2)</f>
        <v>5</v>
      </c>
      <c r="Y28" s="14"/>
      <c r="Z28" s="14"/>
      <c r="AA28" s="15" t="n">
        <f aca="false">IF(COUNT(U28:Z28)=0,0,AVERAGE(U28:Z28)/5*Weights!$B$9)</f>
        <v>11</v>
      </c>
      <c r="AB28" s="18"/>
      <c r="AC28" s="19" t="n">
        <f aca="false">I28+P28+T28+AA28</f>
        <v>11</v>
      </c>
      <c r="AD28" s="19" t="n">
        <f aca="false">IF(AB28="Y",MIN(AC28,Weights!$B$13),AC28)</f>
        <v>11</v>
      </c>
      <c r="AE28" s="20" t="str">
        <f aca="false">IF(AND(COUNT(D28:H28)&gt;0,COUNT(J28:O28)&gt;0),RANK(AD28,$AD$5:$AD$40),"")</f>
        <v/>
      </c>
      <c r="AF28" s="21"/>
    </row>
    <row r="29" customFormat="false" ht="23.85" hidden="false" customHeight="false" outlineLevel="0" collapsed="false">
      <c r="A29" s="12" t="s">
        <v>92</v>
      </c>
      <c r="B29" s="12" t="s">
        <v>105</v>
      </c>
      <c r="C29" s="13" t="s">
        <v>106</v>
      </c>
      <c r="D29" s="14"/>
      <c r="E29" s="14"/>
      <c r="F29" s="14"/>
      <c r="G29" s="14"/>
      <c r="H29" s="14"/>
      <c r="I29" s="15" t="n">
        <f aca="false">IF(COUNT(D29:H29)=0,0,AVERAGE(D29:H29)/5*Weights!$B$6)</f>
        <v>0</v>
      </c>
      <c r="J29" s="14"/>
      <c r="K29" s="14"/>
      <c r="L29" s="14"/>
      <c r="M29" s="14"/>
      <c r="N29" s="14"/>
      <c r="O29" s="14"/>
      <c r="P29" s="15" t="n">
        <f aca="false">IF(COUNT(J29:O29)=0,0,AVERAGE(J29:O29)/5*Weights!$B$7)</f>
        <v>0</v>
      </c>
      <c r="Q29" s="16" t="str">
        <f aca="false">IFERROR(IF(INDEX(Tasks!$K$5:$K$40,MATCH($B29,Tasks!$A$5:$A$40,0))="","",INDEX(Tasks!$K$5:$K$40,MATCH($B29,Tasks!$A$5:$A$40,0))*5),"")</f>
        <v/>
      </c>
      <c r="R29" s="14"/>
      <c r="S29" s="14"/>
      <c r="T29" s="15" t="n">
        <f aca="false">IF(COUNT(Q29:S29)=0,0,AVERAGE(Q29:S29)/5*Weights!$B$8)</f>
        <v>0</v>
      </c>
      <c r="U29" s="17" t="n">
        <f aca="false">IF(INDEX(Plugins!$F$5:$F$41,MATCH($B29,Plugins!$B$5:$B$41,0))&lt;=Weights!$B$16,5,IF(INDEX(Plugins!$F$5:$F$41,MATCH($B29,Plugins!$B$5:$B$41,0))&lt;=Weights!$B$17,4,IF(INDEX(Plugins!$F$5:$F$41,MATCH($B29,Plugins!$B$5:$B$41,0))&lt;=Weights!$B$18,3,IF(INDEX(Plugins!$F$5:$F$41,MATCH($B29,Plugins!$B$5:$B$41,0))&lt;=Weights!$B$19,2,1))))</f>
        <v>5</v>
      </c>
      <c r="V29" s="17" t="n">
        <f aca="false">IF(INDEX(Plugins!$D$5:$D$41,MATCH($B29,Plugins!$B$5:$B$41,0))&gt;=Weights!$B$22,5,IF(INDEX(Plugins!$D$5:$D$41,MATCH($B29,Plugins!$B$5:$B$41,0))&gt;=Weights!$B$23,4,IF(INDEX(Plugins!$D$5:$D$41,MATCH($B29,Plugins!$B$5:$B$41,0))&gt;=Weights!$B$24,3,IF(INDEX(Plugins!$D$5:$D$41,MATCH($B29,Plugins!$B$5:$B$41,0))&gt;=Weights!$B$25,2,1))))</f>
        <v>1</v>
      </c>
      <c r="W29" s="16" t="str">
        <f aca="false">IF(INDEX(Plugins!$H$5:$H$41,MATCH($B29,Plugins!$B$5:$B$41,0))=0,"",INDEX(Plugins!$G$5:$G$41,MATCH($B29,Plugins!$B$5:$B$41,0))/20)</f>
        <v/>
      </c>
      <c r="X29" s="17" t="n">
        <f aca="false">IF(INDEX(Plugins!$I$5:$I$41,MATCH($B29,Plugins!$B$5:$B$41,0))="Y",5,2)</f>
        <v>5</v>
      </c>
      <c r="Y29" s="14"/>
      <c r="Z29" s="14"/>
      <c r="AA29" s="15" t="n">
        <f aca="false">IF(COUNT(U29:Z29)=0,0,AVERAGE(U29:Z29)/5*Weights!$B$9)</f>
        <v>11</v>
      </c>
      <c r="AB29" s="18"/>
      <c r="AC29" s="19" t="n">
        <f aca="false">I29+P29+T29+AA29</f>
        <v>11</v>
      </c>
      <c r="AD29" s="19" t="n">
        <f aca="false">IF(AB29="Y",MIN(AC29,Weights!$B$13),AC29)</f>
        <v>11</v>
      </c>
      <c r="AE29" s="20" t="str">
        <f aca="false">IF(AND(COUNT(D29:H29)&gt;0,COUNT(J29:O29)&gt;0),RANK(AD29,$AD$5:$AD$40),"")</f>
        <v/>
      </c>
      <c r="AF29" s="21"/>
    </row>
    <row r="30" customFormat="false" ht="15" hidden="false" customHeight="false" outlineLevel="0" collapsed="false">
      <c r="A30" s="12" t="s">
        <v>92</v>
      </c>
      <c r="B30" s="12" t="s">
        <v>107</v>
      </c>
      <c r="C30" s="13" t="s">
        <v>108</v>
      </c>
      <c r="D30" s="14"/>
      <c r="E30" s="14"/>
      <c r="F30" s="14"/>
      <c r="G30" s="14"/>
      <c r="H30" s="14"/>
      <c r="I30" s="15" t="n">
        <f aca="false">IF(COUNT(D30:H30)=0,0,AVERAGE(D30:H30)/5*Weights!$B$6)</f>
        <v>0</v>
      </c>
      <c r="J30" s="14"/>
      <c r="K30" s="14"/>
      <c r="L30" s="14"/>
      <c r="M30" s="14"/>
      <c r="N30" s="14"/>
      <c r="O30" s="14"/>
      <c r="P30" s="15" t="n">
        <f aca="false">IF(COUNT(J30:O30)=0,0,AVERAGE(J30:O30)/5*Weights!$B$7)</f>
        <v>0</v>
      </c>
      <c r="Q30" s="16" t="str">
        <f aca="false">IFERROR(IF(INDEX(Tasks!$K$5:$K$40,MATCH($B30,Tasks!$A$5:$A$40,0))="","",INDEX(Tasks!$K$5:$K$40,MATCH($B30,Tasks!$A$5:$A$40,0))*5),"")</f>
        <v/>
      </c>
      <c r="R30" s="14"/>
      <c r="S30" s="14"/>
      <c r="T30" s="15" t="n">
        <f aca="false">IF(COUNT(Q30:S30)=0,0,AVERAGE(Q30:S30)/5*Weights!$B$8)</f>
        <v>0</v>
      </c>
      <c r="U30" s="17" t="n">
        <f aca="false">IF(INDEX(Plugins!$F$5:$F$41,MATCH($B30,Plugins!$B$5:$B$41,0))&lt;=Weights!$B$16,5,IF(INDEX(Plugins!$F$5:$F$41,MATCH($B30,Plugins!$B$5:$B$41,0))&lt;=Weights!$B$17,4,IF(INDEX(Plugins!$F$5:$F$41,MATCH($B30,Plugins!$B$5:$B$41,0))&lt;=Weights!$B$18,3,IF(INDEX(Plugins!$F$5:$F$41,MATCH($B30,Plugins!$B$5:$B$41,0))&lt;=Weights!$B$19,2,1))))</f>
        <v>5</v>
      </c>
      <c r="V30" s="17" t="n">
        <f aca="false">IF(INDEX(Plugins!$D$5:$D$41,MATCH($B30,Plugins!$B$5:$B$41,0))&gt;=Weights!$B$22,5,IF(INDEX(Plugins!$D$5:$D$41,MATCH($B30,Plugins!$B$5:$B$41,0))&gt;=Weights!$B$23,4,IF(INDEX(Plugins!$D$5:$D$41,MATCH($B30,Plugins!$B$5:$B$41,0))&gt;=Weights!$B$24,3,IF(INDEX(Plugins!$D$5:$D$41,MATCH($B30,Plugins!$B$5:$B$41,0))&gt;=Weights!$B$25,2,1))))</f>
        <v>1</v>
      </c>
      <c r="W30" s="16" t="n">
        <f aca="false">IF(INDEX(Plugins!$H$5:$H$41,MATCH($B30,Plugins!$B$5:$B$41,0))=0,"",INDEX(Plugins!$G$5:$G$41,MATCH($B30,Plugins!$B$5:$B$41,0))/20)</f>
        <v>5</v>
      </c>
      <c r="X30" s="17" t="n">
        <f aca="false">IF(INDEX(Plugins!$I$5:$I$41,MATCH($B30,Plugins!$B$5:$B$41,0))="Y",5,2)</f>
        <v>5</v>
      </c>
      <c r="Y30" s="14"/>
      <c r="Z30" s="14"/>
      <c r="AA30" s="15" t="n">
        <f aca="false">IF(COUNT(U30:Z30)=0,0,AVERAGE(U30:Z30)/5*Weights!$B$9)</f>
        <v>12</v>
      </c>
      <c r="AB30" s="18"/>
      <c r="AC30" s="19" t="n">
        <f aca="false">I30+P30+T30+AA30</f>
        <v>12</v>
      </c>
      <c r="AD30" s="19" t="n">
        <f aca="false">IF(AB30="Y",MIN(AC30,Weights!$B$13),AC30)</f>
        <v>12</v>
      </c>
      <c r="AE30" s="20" t="str">
        <f aca="false">IF(AND(COUNT(D30:H30)&gt;0,COUNT(J30:O30)&gt;0),RANK(AD30,$AD$5:$AD$40),"")</f>
        <v/>
      </c>
      <c r="AF30" s="21"/>
    </row>
    <row r="31" customFormat="false" ht="15" hidden="false" customHeight="false" outlineLevel="0" collapsed="false">
      <c r="A31" s="12" t="s">
        <v>92</v>
      </c>
      <c r="B31" s="12" t="s">
        <v>109</v>
      </c>
      <c r="C31" s="13" t="s">
        <v>110</v>
      </c>
      <c r="D31" s="14"/>
      <c r="E31" s="14"/>
      <c r="F31" s="14"/>
      <c r="G31" s="14"/>
      <c r="H31" s="14"/>
      <c r="I31" s="15" t="n">
        <f aca="false">IF(COUNT(D31:H31)=0,0,AVERAGE(D31:H31)/5*Weights!$B$6)</f>
        <v>0</v>
      </c>
      <c r="J31" s="14"/>
      <c r="K31" s="14"/>
      <c r="L31" s="14"/>
      <c r="M31" s="14"/>
      <c r="N31" s="14"/>
      <c r="O31" s="14"/>
      <c r="P31" s="15" t="n">
        <f aca="false">IF(COUNT(J31:O31)=0,0,AVERAGE(J31:O31)/5*Weights!$B$7)</f>
        <v>0</v>
      </c>
      <c r="Q31" s="16" t="str">
        <f aca="false">IFERROR(IF(INDEX(Tasks!$K$5:$K$40,MATCH($B31,Tasks!$A$5:$A$40,0))="","",INDEX(Tasks!$K$5:$K$40,MATCH($B31,Tasks!$A$5:$A$40,0))*5),"")</f>
        <v/>
      </c>
      <c r="R31" s="14"/>
      <c r="S31" s="14"/>
      <c r="T31" s="15" t="n">
        <f aca="false">IF(COUNT(Q31:S31)=0,0,AVERAGE(Q31:S31)/5*Weights!$B$8)</f>
        <v>0</v>
      </c>
      <c r="U31" s="17" t="n">
        <f aca="false">IF(INDEX(Plugins!$F$5:$F$41,MATCH($B31,Plugins!$B$5:$B$41,0))&lt;=Weights!$B$16,5,IF(INDEX(Plugins!$F$5:$F$41,MATCH($B31,Plugins!$B$5:$B$41,0))&lt;=Weights!$B$17,4,IF(INDEX(Plugins!$F$5:$F$41,MATCH($B31,Plugins!$B$5:$B$41,0))&lt;=Weights!$B$18,3,IF(INDEX(Plugins!$F$5:$F$41,MATCH($B31,Plugins!$B$5:$B$41,0))&lt;=Weights!$B$19,2,1))))</f>
        <v>5</v>
      </c>
      <c r="V31" s="17" t="n">
        <f aca="false">IF(INDEX(Plugins!$D$5:$D$41,MATCH($B31,Plugins!$B$5:$B$41,0))&gt;=Weights!$B$22,5,IF(INDEX(Plugins!$D$5:$D$41,MATCH($B31,Plugins!$B$5:$B$41,0))&gt;=Weights!$B$23,4,IF(INDEX(Plugins!$D$5:$D$41,MATCH($B31,Plugins!$B$5:$B$41,0))&gt;=Weights!$B$24,3,IF(INDEX(Plugins!$D$5:$D$41,MATCH($B31,Plugins!$B$5:$B$41,0))&gt;=Weights!$B$25,2,1))))</f>
        <v>2</v>
      </c>
      <c r="W31" s="16" t="n">
        <f aca="false">IF(INDEX(Plugins!$H$5:$H$41,MATCH($B31,Plugins!$B$5:$B$41,0))=0,"",INDEX(Plugins!$G$5:$G$41,MATCH($B31,Plugins!$B$5:$B$41,0))/20)</f>
        <v>5</v>
      </c>
      <c r="X31" s="17" t="n">
        <f aca="false">IF(INDEX(Plugins!$I$5:$I$41,MATCH($B31,Plugins!$B$5:$B$41,0))="Y",5,2)</f>
        <v>2</v>
      </c>
      <c r="Y31" s="14"/>
      <c r="Z31" s="14"/>
      <c r="AA31" s="15" t="n">
        <f aca="false">IF(COUNT(U31:Z31)=0,0,AVERAGE(U31:Z31)/5*Weights!$B$9)</f>
        <v>10.5</v>
      </c>
      <c r="AB31" s="18"/>
      <c r="AC31" s="19" t="n">
        <f aca="false">I31+P31+T31+AA31</f>
        <v>10.5</v>
      </c>
      <c r="AD31" s="19" t="n">
        <f aca="false">IF(AB31="Y",MIN(AC31,Weights!$B$13),AC31)</f>
        <v>10.5</v>
      </c>
      <c r="AE31" s="20" t="str">
        <f aca="false">IF(AND(COUNT(D31:H31)&gt;0,COUNT(J31:O31)&gt;0),RANK(AD31,$AD$5:$AD$40),"")</f>
        <v/>
      </c>
      <c r="AF31" s="21"/>
    </row>
    <row r="32" customFormat="false" ht="15" hidden="false" customHeight="false" outlineLevel="0" collapsed="false">
      <c r="A32" s="12" t="s">
        <v>92</v>
      </c>
      <c r="B32" s="12" t="s">
        <v>111</v>
      </c>
      <c r="C32" s="13" t="s">
        <v>112</v>
      </c>
      <c r="D32" s="14"/>
      <c r="E32" s="14"/>
      <c r="F32" s="14"/>
      <c r="G32" s="14"/>
      <c r="H32" s="14"/>
      <c r="I32" s="15" t="n">
        <f aca="false">IF(COUNT(D32:H32)=0,0,AVERAGE(D32:H32)/5*Weights!$B$6)</f>
        <v>0</v>
      </c>
      <c r="J32" s="14"/>
      <c r="K32" s="14"/>
      <c r="L32" s="14"/>
      <c r="M32" s="14"/>
      <c r="N32" s="14"/>
      <c r="O32" s="14"/>
      <c r="P32" s="15" t="n">
        <f aca="false">IF(COUNT(J32:O32)=0,0,AVERAGE(J32:O32)/5*Weights!$B$7)</f>
        <v>0</v>
      </c>
      <c r="Q32" s="16" t="str">
        <f aca="false">IFERROR(IF(INDEX(Tasks!$K$5:$K$40,MATCH($B32,Tasks!$A$5:$A$40,0))="","",INDEX(Tasks!$K$5:$K$40,MATCH($B32,Tasks!$A$5:$A$40,0))*5),"")</f>
        <v/>
      </c>
      <c r="R32" s="14"/>
      <c r="S32" s="14"/>
      <c r="T32" s="15" t="n">
        <f aca="false">IF(COUNT(Q32:S32)=0,0,AVERAGE(Q32:S32)/5*Weights!$B$8)</f>
        <v>0</v>
      </c>
      <c r="U32" s="17" t="n">
        <f aca="false">IF(INDEX(Plugins!$F$5:$F$41,MATCH($B32,Plugins!$B$5:$B$41,0))&lt;=Weights!$B$16,5,IF(INDEX(Plugins!$F$5:$F$41,MATCH($B32,Plugins!$B$5:$B$41,0))&lt;=Weights!$B$17,4,IF(INDEX(Plugins!$F$5:$F$41,MATCH($B32,Plugins!$B$5:$B$41,0))&lt;=Weights!$B$18,3,IF(INDEX(Plugins!$F$5:$F$41,MATCH($B32,Plugins!$B$5:$B$41,0))&lt;=Weights!$B$19,2,1))))</f>
        <v>4</v>
      </c>
      <c r="V32" s="17" t="n">
        <f aca="false">IF(INDEX(Plugins!$D$5:$D$41,MATCH($B32,Plugins!$B$5:$B$41,0))&gt;=Weights!$B$22,5,IF(INDEX(Plugins!$D$5:$D$41,MATCH($B32,Plugins!$B$5:$B$41,0))&gt;=Weights!$B$23,4,IF(INDEX(Plugins!$D$5:$D$41,MATCH($B32,Plugins!$B$5:$B$41,0))&gt;=Weights!$B$24,3,IF(INDEX(Plugins!$D$5:$D$41,MATCH($B32,Plugins!$B$5:$B$41,0))&gt;=Weights!$B$25,2,1))))</f>
        <v>2</v>
      </c>
      <c r="W32" s="16" t="str">
        <f aca="false">IF(INDEX(Plugins!$H$5:$H$41,MATCH($B32,Plugins!$B$5:$B$41,0))=0,"",INDEX(Plugins!$G$5:$G$41,MATCH($B32,Plugins!$B$5:$B$41,0))/20)</f>
        <v/>
      </c>
      <c r="X32" s="17" t="n">
        <f aca="false">IF(INDEX(Plugins!$I$5:$I$41,MATCH($B32,Plugins!$B$5:$B$41,0))="Y",5,2)</f>
        <v>5</v>
      </c>
      <c r="Y32" s="14"/>
      <c r="Z32" s="14"/>
      <c r="AA32" s="15" t="n">
        <f aca="false">IF(COUNT(U32:Z32)=0,0,AVERAGE(U32:Z32)/5*Weights!$B$9)</f>
        <v>11</v>
      </c>
      <c r="AB32" s="18"/>
      <c r="AC32" s="19" t="n">
        <f aca="false">I32+P32+T32+AA32</f>
        <v>11</v>
      </c>
      <c r="AD32" s="19" t="n">
        <f aca="false">IF(AB32="Y",MIN(AC32,Weights!$B$13),AC32)</f>
        <v>11</v>
      </c>
      <c r="AE32" s="20" t="str">
        <f aca="false">IF(AND(COUNT(D32:H32)&gt;0,COUNT(J32:O32)&gt;0),RANK(AD32,$AD$5:$AD$40),"")</f>
        <v/>
      </c>
      <c r="AF32" s="21"/>
    </row>
    <row r="33" customFormat="false" ht="15" hidden="false" customHeight="false" outlineLevel="0" collapsed="false">
      <c r="A33" s="12" t="s">
        <v>92</v>
      </c>
      <c r="B33" s="12" t="s">
        <v>113</v>
      </c>
      <c r="C33" s="13" t="s">
        <v>114</v>
      </c>
      <c r="D33" s="14"/>
      <c r="E33" s="14"/>
      <c r="F33" s="14"/>
      <c r="G33" s="14"/>
      <c r="H33" s="14"/>
      <c r="I33" s="15" t="n">
        <f aca="false">IF(COUNT(D33:H33)=0,0,AVERAGE(D33:H33)/5*Weights!$B$6)</f>
        <v>0</v>
      </c>
      <c r="J33" s="14"/>
      <c r="K33" s="14"/>
      <c r="L33" s="14"/>
      <c r="M33" s="14"/>
      <c r="N33" s="14"/>
      <c r="O33" s="14"/>
      <c r="P33" s="15" t="n">
        <f aca="false">IF(COUNT(J33:O33)=0,0,AVERAGE(J33:O33)/5*Weights!$B$7)</f>
        <v>0</v>
      </c>
      <c r="Q33" s="16" t="str">
        <f aca="false">IFERROR(IF(INDEX(Tasks!$K$5:$K$40,MATCH($B33,Tasks!$A$5:$A$40,0))="","",INDEX(Tasks!$K$5:$K$40,MATCH($B33,Tasks!$A$5:$A$40,0))*5),"")</f>
        <v/>
      </c>
      <c r="R33" s="14"/>
      <c r="S33" s="14"/>
      <c r="T33" s="15" t="n">
        <f aca="false">IF(COUNT(Q33:S33)=0,0,AVERAGE(Q33:S33)/5*Weights!$B$8)</f>
        <v>0</v>
      </c>
      <c r="U33" s="17" t="n">
        <f aca="false">IF(INDEX(Plugins!$F$5:$F$41,MATCH($B33,Plugins!$B$5:$B$41,0))&lt;=Weights!$B$16,5,IF(INDEX(Plugins!$F$5:$F$41,MATCH($B33,Plugins!$B$5:$B$41,0))&lt;=Weights!$B$17,4,IF(INDEX(Plugins!$F$5:$F$41,MATCH($B33,Plugins!$B$5:$B$41,0))&lt;=Weights!$B$18,3,IF(INDEX(Plugins!$F$5:$F$41,MATCH($B33,Plugins!$B$5:$B$41,0))&lt;=Weights!$B$19,2,1))))</f>
        <v>5</v>
      </c>
      <c r="V33" s="17" t="n">
        <f aca="false">IF(INDEX(Plugins!$D$5:$D$41,MATCH($B33,Plugins!$B$5:$B$41,0))&gt;=Weights!$B$22,5,IF(INDEX(Plugins!$D$5:$D$41,MATCH($B33,Plugins!$B$5:$B$41,0))&gt;=Weights!$B$23,4,IF(INDEX(Plugins!$D$5:$D$41,MATCH($B33,Plugins!$B$5:$B$41,0))&gt;=Weights!$B$24,3,IF(INDEX(Plugins!$D$5:$D$41,MATCH($B33,Plugins!$B$5:$B$41,0))&gt;=Weights!$B$25,2,1))))</f>
        <v>2</v>
      </c>
      <c r="W33" s="16" t="str">
        <f aca="false">IF(INDEX(Plugins!$H$5:$H$41,MATCH($B33,Plugins!$B$5:$B$41,0))=0,"",INDEX(Plugins!$G$5:$G$41,MATCH($B33,Plugins!$B$5:$B$41,0))/20)</f>
        <v/>
      </c>
      <c r="X33" s="17" t="n">
        <f aca="false">IF(INDEX(Plugins!$I$5:$I$41,MATCH($B33,Plugins!$B$5:$B$41,0))="Y",5,2)</f>
        <v>5</v>
      </c>
      <c r="Y33" s="14"/>
      <c r="Z33" s="14"/>
      <c r="AA33" s="15" t="n">
        <f aca="false">IF(COUNT(U33:Z33)=0,0,AVERAGE(U33:Z33)/5*Weights!$B$9)</f>
        <v>12</v>
      </c>
      <c r="AB33" s="18"/>
      <c r="AC33" s="19" t="n">
        <f aca="false">I33+P33+T33+AA33</f>
        <v>12</v>
      </c>
      <c r="AD33" s="19" t="n">
        <f aca="false">IF(AB33="Y",MIN(AC33,Weights!$B$13),AC33)</f>
        <v>12</v>
      </c>
      <c r="AE33" s="20" t="str">
        <f aca="false">IF(AND(COUNT(D33:H33)&gt;0,COUNT(J33:O33)&gt;0),RANK(AD33,$AD$5:$AD$40),"")</f>
        <v/>
      </c>
      <c r="AF33" s="21"/>
    </row>
    <row r="34" customFormat="false" ht="15" hidden="false" customHeight="false" outlineLevel="0" collapsed="false">
      <c r="A34" s="12" t="s">
        <v>92</v>
      </c>
      <c r="B34" s="12" t="s">
        <v>115</v>
      </c>
      <c r="C34" s="13" t="s">
        <v>116</v>
      </c>
      <c r="D34" s="14"/>
      <c r="E34" s="14"/>
      <c r="F34" s="14"/>
      <c r="G34" s="14"/>
      <c r="H34" s="14"/>
      <c r="I34" s="15" t="n">
        <f aca="false">IF(COUNT(D34:H34)=0,0,AVERAGE(D34:H34)/5*Weights!$B$6)</f>
        <v>0</v>
      </c>
      <c r="J34" s="14"/>
      <c r="K34" s="14"/>
      <c r="L34" s="14"/>
      <c r="M34" s="14"/>
      <c r="N34" s="14"/>
      <c r="O34" s="14"/>
      <c r="P34" s="15" t="n">
        <f aca="false">IF(COUNT(J34:O34)=0,0,AVERAGE(J34:O34)/5*Weights!$B$7)</f>
        <v>0</v>
      </c>
      <c r="Q34" s="16" t="str">
        <f aca="false">IFERROR(IF(INDEX(Tasks!$K$5:$K$40,MATCH($B34,Tasks!$A$5:$A$40,0))="","",INDEX(Tasks!$K$5:$K$40,MATCH($B34,Tasks!$A$5:$A$40,0))*5),"")</f>
        <v/>
      </c>
      <c r="R34" s="14"/>
      <c r="S34" s="14"/>
      <c r="T34" s="15" t="n">
        <f aca="false">IF(COUNT(Q34:S34)=0,0,AVERAGE(Q34:S34)/5*Weights!$B$8)</f>
        <v>0</v>
      </c>
      <c r="U34" s="17" t="n">
        <f aca="false">IF(INDEX(Plugins!$F$5:$F$41,MATCH($B34,Plugins!$B$5:$B$41,0))&lt;=Weights!$B$16,5,IF(INDEX(Plugins!$F$5:$F$41,MATCH($B34,Plugins!$B$5:$B$41,0))&lt;=Weights!$B$17,4,IF(INDEX(Plugins!$F$5:$F$41,MATCH($B34,Plugins!$B$5:$B$41,0))&lt;=Weights!$B$18,3,IF(INDEX(Plugins!$F$5:$F$41,MATCH($B34,Plugins!$B$5:$B$41,0))&lt;=Weights!$B$19,2,1))))</f>
        <v>5</v>
      </c>
      <c r="V34" s="17" t="n">
        <f aca="false">IF(INDEX(Plugins!$D$5:$D$41,MATCH($B34,Plugins!$B$5:$B$41,0))&gt;=Weights!$B$22,5,IF(INDEX(Plugins!$D$5:$D$41,MATCH($B34,Plugins!$B$5:$B$41,0))&gt;=Weights!$B$23,4,IF(INDEX(Plugins!$D$5:$D$41,MATCH($B34,Plugins!$B$5:$B$41,0))&gt;=Weights!$B$24,3,IF(INDEX(Plugins!$D$5:$D$41,MATCH($B34,Plugins!$B$5:$B$41,0))&gt;=Weights!$B$25,2,1))))</f>
        <v>2</v>
      </c>
      <c r="W34" s="16" t="str">
        <f aca="false">IF(INDEX(Plugins!$H$5:$H$41,MATCH($B34,Plugins!$B$5:$B$41,0))=0,"",INDEX(Plugins!$G$5:$G$41,MATCH($B34,Plugins!$B$5:$B$41,0))/20)</f>
        <v/>
      </c>
      <c r="X34" s="17" t="n">
        <f aca="false">IF(INDEX(Plugins!$I$5:$I$41,MATCH($B34,Plugins!$B$5:$B$41,0))="Y",5,2)</f>
        <v>5</v>
      </c>
      <c r="Y34" s="14"/>
      <c r="Z34" s="14"/>
      <c r="AA34" s="15" t="n">
        <f aca="false">IF(COUNT(U34:Z34)=0,0,AVERAGE(U34:Z34)/5*Weights!$B$9)</f>
        <v>12</v>
      </c>
      <c r="AB34" s="18"/>
      <c r="AC34" s="19" t="n">
        <f aca="false">I34+P34+T34+AA34</f>
        <v>12</v>
      </c>
      <c r="AD34" s="19" t="n">
        <f aca="false">IF(AB34="Y",MIN(AC34,Weights!$B$13),AC34)</f>
        <v>12</v>
      </c>
      <c r="AE34" s="20" t="str">
        <f aca="false">IF(AND(COUNT(D34:H34)&gt;0,COUNT(J34:O34)&gt;0),RANK(AD34,$AD$5:$AD$40),"")</f>
        <v/>
      </c>
      <c r="AF34" s="21"/>
    </row>
    <row r="35" customFormat="false" ht="15" hidden="false" customHeight="false" outlineLevel="0" collapsed="false">
      <c r="A35" s="12" t="s">
        <v>92</v>
      </c>
      <c r="B35" s="12" t="s">
        <v>117</v>
      </c>
      <c r="C35" s="13" t="s">
        <v>118</v>
      </c>
      <c r="D35" s="14"/>
      <c r="E35" s="14"/>
      <c r="F35" s="14"/>
      <c r="G35" s="14"/>
      <c r="H35" s="14"/>
      <c r="I35" s="15" t="n">
        <f aca="false">IF(COUNT(D35:H35)=0,0,AVERAGE(D35:H35)/5*Weights!$B$6)</f>
        <v>0</v>
      </c>
      <c r="J35" s="14"/>
      <c r="K35" s="14"/>
      <c r="L35" s="14"/>
      <c r="M35" s="14"/>
      <c r="N35" s="14"/>
      <c r="O35" s="14"/>
      <c r="P35" s="15" t="n">
        <f aca="false">IF(COUNT(J35:O35)=0,0,AVERAGE(J35:O35)/5*Weights!$B$7)</f>
        <v>0</v>
      </c>
      <c r="Q35" s="16" t="str">
        <f aca="false">IFERROR(IF(INDEX(Tasks!$K$5:$K$40,MATCH($B35,Tasks!$A$5:$A$40,0))="","",INDEX(Tasks!$K$5:$K$40,MATCH($B35,Tasks!$A$5:$A$40,0))*5),"")</f>
        <v/>
      </c>
      <c r="R35" s="14"/>
      <c r="S35" s="14"/>
      <c r="T35" s="15" t="n">
        <f aca="false">IF(COUNT(Q35:S35)=0,0,AVERAGE(Q35:S35)/5*Weights!$B$8)</f>
        <v>0</v>
      </c>
      <c r="U35" s="17" t="n">
        <f aca="false">IF(INDEX(Plugins!$F$5:$F$41,MATCH($B35,Plugins!$B$5:$B$41,0))&lt;=Weights!$B$16,5,IF(INDEX(Plugins!$F$5:$F$41,MATCH($B35,Plugins!$B$5:$B$41,0))&lt;=Weights!$B$17,4,IF(INDEX(Plugins!$F$5:$F$41,MATCH($B35,Plugins!$B$5:$B$41,0))&lt;=Weights!$B$18,3,IF(INDEX(Plugins!$F$5:$F$41,MATCH($B35,Plugins!$B$5:$B$41,0))&lt;=Weights!$B$19,2,1))))</f>
        <v>5</v>
      </c>
      <c r="V35" s="17" t="n">
        <f aca="false">IF(INDEX(Plugins!$D$5:$D$41,MATCH($B35,Plugins!$B$5:$B$41,0))&gt;=Weights!$B$22,5,IF(INDEX(Plugins!$D$5:$D$41,MATCH($B35,Plugins!$B$5:$B$41,0))&gt;=Weights!$B$23,4,IF(INDEX(Plugins!$D$5:$D$41,MATCH($B35,Plugins!$B$5:$B$41,0))&gt;=Weights!$B$24,3,IF(INDEX(Plugins!$D$5:$D$41,MATCH($B35,Plugins!$B$5:$B$41,0))&gt;=Weights!$B$25,2,1))))</f>
        <v>1</v>
      </c>
      <c r="W35" s="16" t="str">
        <f aca="false">IF(INDEX(Plugins!$H$5:$H$41,MATCH($B35,Plugins!$B$5:$B$41,0))=0,"",INDEX(Plugins!$G$5:$G$41,MATCH($B35,Plugins!$B$5:$B$41,0))/20)</f>
        <v/>
      </c>
      <c r="X35" s="17" t="n">
        <f aca="false">IF(INDEX(Plugins!$I$5:$I$41,MATCH($B35,Plugins!$B$5:$B$41,0))="Y",5,2)</f>
        <v>5</v>
      </c>
      <c r="Y35" s="14"/>
      <c r="Z35" s="14"/>
      <c r="AA35" s="15" t="n">
        <f aca="false">IF(COUNT(U35:Z35)=0,0,AVERAGE(U35:Z35)/5*Weights!$B$9)</f>
        <v>11</v>
      </c>
      <c r="AB35" s="18"/>
      <c r="AC35" s="19" t="n">
        <f aca="false">I35+P35+T35+AA35</f>
        <v>11</v>
      </c>
      <c r="AD35" s="19" t="n">
        <f aca="false">IF(AB35="Y",MIN(AC35,Weights!$B$13),AC35)</f>
        <v>11</v>
      </c>
      <c r="AE35" s="20" t="str">
        <f aca="false">IF(AND(COUNT(D35:H35)&gt;0,COUNT(J35:O35)&gt;0),RANK(AD35,$AD$5:$AD$40),"")</f>
        <v/>
      </c>
      <c r="AF35" s="21"/>
    </row>
    <row r="36" customFormat="false" ht="15" hidden="false" customHeight="false" outlineLevel="0" collapsed="false">
      <c r="A36" s="12" t="s">
        <v>92</v>
      </c>
      <c r="B36" s="12" t="s">
        <v>119</v>
      </c>
      <c r="C36" s="13" t="s">
        <v>120</v>
      </c>
      <c r="D36" s="14"/>
      <c r="E36" s="14"/>
      <c r="F36" s="14"/>
      <c r="G36" s="14"/>
      <c r="H36" s="14"/>
      <c r="I36" s="15" t="n">
        <f aca="false">IF(COUNT(D36:H36)=0,0,AVERAGE(D36:H36)/5*Weights!$B$6)</f>
        <v>0</v>
      </c>
      <c r="J36" s="14"/>
      <c r="K36" s="14"/>
      <c r="L36" s="14"/>
      <c r="M36" s="14"/>
      <c r="N36" s="14"/>
      <c r="O36" s="14"/>
      <c r="P36" s="15" t="n">
        <f aca="false">IF(COUNT(J36:O36)=0,0,AVERAGE(J36:O36)/5*Weights!$B$7)</f>
        <v>0</v>
      </c>
      <c r="Q36" s="16" t="str">
        <f aca="false">IFERROR(IF(INDEX(Tasks!$K$5:$K$40,MATCH($B36,Tasks!$A$5:$A$40,0))="","",INDEX(Tasks!$K$5:$K$40,MATCH($B36,Tasks!$A$5:$A$40,0))*5),"")</f>
        <v/>
      </c>
      <c r="R36" s="14"/>
      <c r="S36" s="14"/>
      <c r="T36" s="15" t="n">
        <f aca="false">IF(COUNT(Q36:S36)=0,0,AVERAGE(Q36:S36)/5*Weights!$B$8)</f>
        <v>0</v>
      </c>
      <c r="U36" s="17" t="n">
        <f aca="false">IF(INDEX(Plugins!$F$5:$F$41,MATCH($B36,Plugins!$B$5:$B$41,0))&lt;=Weights!$B$16,5,IF(INDEX(Plugins!$F$5:$F$41,MATCH($B36,Plugins!$B$5:$B$41,0))&lt;=Weights!$B$17,4,IF(INDEX(Plugins!$F$5:$F$41,MATCH($B36,Plugins!$B$5:$B$41,0))&lt;=Weights!$B$18,3,IF(INDEX(Plugins!$F$5:$F$41,MATCH($B36,Plugins!$B$5:$B$41,0))&lt;=Weights!$B$19,2,1))))</f>
        <v>5</v>
      </c>
      <c r="V36" s="17" t="n">
        <f aca="false">IF(INDEX(Plugins!$D$5:$D$41,MATCH($B36,Plugins!$B$5:$B$41,0))&gt;=Weights!$B$22,5,IF(INDEX(Plugins!$D$5:$D$41,MATCH($B36,Plugins!$B$5:$B$41,0))&gt;=Weights!$B$23,4,IF(INDEX(Plugins!$D$5:$D$41,MATCH($B36,Plugins!$B$5:$B$41,0))&gt;=Weights!$B$24,3,IF(INDEX(Plugins!$D$5:$D$41,MATCH($B36,Plugins!$B$5:$B$41,0))&gt;=Weights!$B$25,2,1))))</f>
        <v>2</v>
      </c>
      <c r="W36" s="16" t="n">
        <f aca="false">IF(INDEX(Plugins!$H$5:$H$41,MATCH($B36,Plugins!$B$5:$B$41,0))=0,"",INDEX(Plugins!$G$5:$G$41,MATCH($B36,Plugins!$B$5:$B$41,0))/20)</f>
        <v>5</v>
      </c>
      <c r="X36" s="17" t="n">
        <f aca="false">IF(INDEX(Plugins!$I$5:$I$41,MATCH($B36,Plugins!$B$5:$B$41,0))="Y",5,2)</f>
        <v>5</v>
      </c>
      <c r="Y36" s="14"/>
      <c r="Z36" s="14"/>
      <c r="AA36" s="15" t="n">
        <f aca="false">IF(COUNT(U36:Z36)=0,0,AVERAGE(U36:Z36)/5*Weights!$B$9)</f>
        <v>12.75</v>
      </c>
      <c r="AB36" s="18"/>
      <c r="AC36" s="19" t="n">
        <f aca="false">I36+P36+T36+AA36</f>
        <v>12.75</v>
      </c>
      <c r="AD36" s="19" t="n">
        <f aca="false">IF(AB36="Y",MIN(AC36,Weights!$B$13),AC36)</f>
        <v>12.75</v>
      </c>
      <c r="AE36" s="20" t="str">
        <f aca="false">IF(AND(COUNT(D36:H36)&gt;0,COUNT(J36:O36)&gt;0),RANK(AD36,$AD$5:$AD$40),"")</f>
        <v/>
      </c>
      <c r="AF36" s="21"/>
    </row>
    <row r="37" customFormat="false" ht="15" hidden="false" customHeight="false" outlineLevel="0" collapsed="false">
      <c r="A37" s="12" t="s">
        <v>92</v>
      </c>
      <c r="B37" s="12" t="s">
        <v>121</v>
      </c>
      <c r="C37" s="13" t="s">
        <v>122</v>
      </c>
      <c r="D37" s="14"/>
      <c r="E37" s="14"/>
      <c r="F37" s="14"/>
      <c r="G37" s="14"/>
      <c r="H37" s="14"/>
      <c r="I37" s="15" t="n">
        <f aca="false">IF(COUNT(D37:H37)=0,0,AVERAGE(D37:H37)/5*Weights!$B$6)</f>
        <v>0</v>
      </c>
      <c r="J37" s="14"/>
      <c r="K37" s="14"/>
      <c r="L37" s="14"/>
      <c r="M37" s="14"/>
      <c r="N37" s="14"/>
      <c r="O37" s="14"/>
      <c r="P37" s="15" t="n">
        <f aca="false">IF(COUNT(J37:O37)=0,0,AVERAGE(J37:O37)/5*Weights!$B$7)</f>
        <v>0</v>
      </c>
      <c r="Q37" s="16" t="str">
        <f aca="false">IFERROR(IF(INDEX(Tasks!$K$5:$K$40,MATCH($B37,Tasks!$A$5:$A$40,0))="","",INDEX(Tasks!$K$5:$K$40,MATCH($B37,Tasks!$A$5:$A$40,0))*5),"")</f>
        <v/>
      </c>
      <c r="R37" s="14"/>
      <c r="S37" s="14"/>
      <c r="T37" s="15" t="n">
        <f aca="false">IF(COUNT(Q37:S37)=0,0,AVERAGE(Q37:S37)/5*Weights!$B$8)</f>
        <v>0</v>
      </c>
      <c r="U37" s="17" t="n">
        <f aca="false">IF(INDEX(Plugins!$F$5:$F$41,MATCH($B37,Plugins!$B$5:$B$41,0))&lt;=Weights!$B$16,5,IF(INDEX(Plugins!$F$5:$F$41,MATCH($B37,Plugins!$B$5:$B$41,0))&lt;=Weights!$B$17,4,IF(INDEX(Plugins!$F$5:$F$41,MATCH($B37,Plugins!$B$5:$B$41,0))&lt;=Weights!$B$18,3,IF(INDEX(Plugins!$F$5:$F$41,MATCH($B37,Plugins!$B$5:$B$41,0))&lt;=Weights!$B$19,2,1))))</f>
        <v>5</v>
      </c>
      <c r="V37" s="17" t="n">
        <f aca="false">IF(INDEX(Plugins!$D$5:$D$41,MATCH($B37,Plugins!$B$5:$B$41,0))&gt;=Weights!$B$22,5,IF(INDEX(Plugins!$D$5:$D$41,MATCH($B37,Plugins!$B$5:$B$41,0))&gt;=Weights!$B$23,4,IF(INDEX(Plugins!$D$5:$D$41,MATCH($B37,Plugins!$B$5:$B$41,0))&gt;=Weights!$B$24,3,IF(INDEX(Plugins!$D$5:$D$41,MATCH($B37,Plugins!$B$5:$B$41,0))&gt;=Weights!$B$25,2,1))))</f>
        <v>1</v>
      </c>
      <c r="W37" s="16" t="str">
        <f aca="false">IF(INDEX(Plugins!$H$5:$H$41,MATCH($B37,Plugins!$B$5:$B$41,0))=0,"",INDEX(Plugins!$G$5:$G$41,MATCH($B37,Plugins!$B$5:$B$41,0))/20)</f>
        <v/>
      </c>
      <c r="X37" s="17" t="n">
        <f aca="false">IF(INDEX(Plugins!$I$5:$I$41,MATCH($B37,Plugins!$B$5:$B$41,0))="Y",5,2)</f>
        <v>5</v>
      </c>
      <c r="Y37" s="14"/>
      <c r="Z37" s="14"/>
      <c r="AA37" s="15" t="n">
        <f aca="false">IF(COUNT(U37:Z37)=0,0,AVERAGE(U37:Z37)/5*Weights!$B$9)</f>
        <v>11</v>
      </c>
      <c r="AB37" s="18"/>
      <c r="AC37" s="19" t="n">
        <f aca="false">I37+P37+T37+AA37</f>
        <v>11</v>
      </c>
      <c r="AD37" s="19" t="n">
        <f aca="false">IF(AB37="Y",MIN(AC37,Weights!$B$13),AC37)</f>
        <v>11</v>
      </c>
      <c r="AE37" s="20" t="str">
        <f aca="false">IF(AND(COUNT(D37:H37)&gt;0,COUNT(J37:O37)&gt;0),RANK(AD37,$AD$5:$AD$40),"")</f>
        <v/>
      </c>
      <c r="AF37" s="21"/>
    </row>
    <row r="38" customFormat="false" ht="15" hidden="false" customHeight="false" outlineLevel="0" collapsed="false">
      <c r="A38" s="12" t="s">
        <v>92</v>
      </c>
      <c r="B38" s="12" t="s">
        <v>123</v>
      </c>
      <c r="C38" s="13" t="s">
        <v>124</v>
      </c>
      <c r="D38" s="14"/>
      <c r="E38" s="14"/>
      <c r="F38" s="14"/>
      <c r="G38" s="14"/>
      <c r="H38" s="14"/>
      <c r="I38" s="15" t="n">
        <f aca="false">IF(COUNT(D38:H38)=0,0,AVERAGE(D38:H38)/5*Weights!$B$6)</f>
        <v>0</v>
      </c>
      <c r="J38" s="14"/>
      <c r="K38" s="14"/>
      <c r="L38" s="14"/>
      <c r="M38" s="14"/>
      <c r="N38" s="14"/>
      <c r="O38" s="14"/>
      <c r="P38" s="15" t="n">
        <f aca="false">IF(COUNT(J38:O38)=0,0,AVERAGE(J38:O38)/5*Weights!$B$7)</f>
        <v>0</v>
      </c>
      <c r="Q38" s="16" t="str">
        <f aca="false">IFERROR(IF(INDEX(Tasks!$K$5:$K$40,MATCH($B38,Tasks!$A$5:$A$40,0))="","",INDEX(Tasks!$K$5:$K$40,MATCH($B38,Tasks!$A$5:$A$40,0))*5),"")</f>
        <v/>
      </c>
      <c r="R38" s="14"/>
      <c r="S38" s="14"/>
      <c r="T38" s="15" t="n">
        <f aca="false">IF(COUNT(Q38:S38)=0,0,AVERAGE(Q38:S38)/5*Weights!$B$8)</f>
        <v>0</v>
      </c>
      <c r="U38" s="17" t="n">
        <f aca="false">IF(INDEX(Plugins!$F$5:$F$41,MATCH($B38,Plugins!$B$5:$B$41,0))&lt;=Weights!$B$16,5,IF(INDEX(Plugins!$F$5:$F$41,MATCH($B38,Plugins!$B$5:$B$41,0))&lt;=Weights!$B$17,4,IF(INDEX(Plugins!$F$5:$F$41,MATCH($B38,Plugins!$B$5:$B$41,0))&lt;=Weights!$B$18,3,IF(INDEX(Plugins!$F$5:$F$41,MATCH($B38,Plugins!$B$5:$B$41,0))&lt;=Weights!$B$19,2,1))))</f>
        <v>5</v>
      </c>
      <c r="V38" s="17" t="n">
        <f aca="false">IF(INDEX(Plugins!$D$5:$D$41,MATCH($B38,Plugins!$B$5:$B$41,0))&gt;=Weights!$B$22,5,IF(INDEX(Plugins!$D$5:$D$41,MATCH($B38,Plugins!$B$5:$B$41,0))&gt;=Weights!$B$23,4,IF(INDEX(Plugins!$D$5:$D$41,MATCH($B38,Plugins!$B$5:$B$41,0))&gt;=Weights!$B$24,3,IF(INDEX(Plugins!$D$5:$D$41,MATCH($B38,Plugins!$B$5:$B$41,0))&gt;=Weights!$B$25,2,1))))</f>
        <v>2</v>
      </c>
      <c r="W38" s="16" t="str">
        <f aca="false">IF(INDEX(Plugins!$H$5:$H$41,MATCH($B38,Plugins!$B$5:$B$41,0))=0,"",INDEX(Plugins!$G$5:$G$41,MATCH($B38,Plugins!$B$5:$B$41,0))/20)</f>
        <v/>
      </c>
      <c r="X38" s="17" t="n">
        <f aca="false">IF(INDEX(Plugins!$I$5:$I$41,MATCH($B38,Plugins!$B$5:$B$41,0))="Y",5,2)</f>
        <v>5</v>
      </c>
      <c r="Y38" s="14"/>
      <c r="Z38" s="14"/>
      <c r="AA38" s="15" t="n">
        <f aca="false">IF(COUNT(U38:Z38)=0,0,AVERAGE(U38:Z38)/5*Weights!$B$9)</f>
        <v>12</v>
      </c>
      <c r="AB38" s="18"/>
      <c r="AC38" s="19" t="n">
        <f aca="false">I38+P38+T38+AA38</f>
        <v>12</v>
      </c>
      <c r="AD38" s="19" t="n">
        <f aca="false">IF(AB38="Y",MIN(AC38,Weights!$B$13),AC38)</f>
        <v>12</v>
      </c>
      <c r="AE38" s="20" t="str">
        <f aca="false">IF(AND(COUNT(D38:H38)&gt;0,COUNT(J38:O38)&gt;0),RANK(AD38,$AD$5:$AD$40),"")</f>
        <v/>
      </c>
      <c r="AF38" s="21"/>
    </row>
    <row r="39" customFormat="false" ht="23.85" hidden="false" customHeight="false" outlineLevel="0" collapsed="false">
      <c r="A39" s="12" t="s">
        <v>92</v>
      </c>
      <c r="B39" s="12" t="s">
        <v>125</v>
      </c>
      <c r="C39" s="13" t="s">
        <v>126</v>
      </c>
      <c r="D39" s="14"/>
      <c r="E39" s="14"/>
      <c r="F39" s="14"/>
      <c r="G39" s="14"/>
      <c r="H39" s="14"/>
      <c r="I39" s="15" t="n">
        <f aca="false">IF(COUNT(D39:H39)=0,0,AVERAGE(D39:H39)/5*Weights!$B$6)</f>
        <v>0</v>
      </c>
      <c r="J39" s="14"/>
      <c r="K39" s="14"/>
      <c r="L39" s="14"/>
      <c r="M39" s="14"/>
      <c r="N39" s="14"/>
      <c r="O39" s="14"/>
      <c r="P39" s="15" t="n">
        <f aca="false">IF(COUNT(J39:O39)=0,0,AVERAGE(J39:O39)/5*Weights!$B$7)</f>
        <v>0</v>
      </c>
      <c r="Q39" s="16" t="str">
        <f aca="false">IFERROR(IF(INDEX(Tasks!$K$5:$K$40,MATCH($B39,Tasks!$A$5:$A$40,0))="","",INDEX(Tasks!$K$5:$K$40,MATCH($B39,Tasks!$A$5:$A$40,0))*5),"")</f>
        <v/>
      </c>
      <c r="R39" s="14"/>
      <c r="S39" s="14"/>
      <c r="T39" s="15" t="n">
        <f aca="false">IF(COUNT(Q39:S39)=0,0,AVERAGE(Q39:S39)/5*Weights!$B$8)</f>
        <v>0</v>
      </c>
      <c r="U39" s="17" t="n">
        <f aca="false">IF(INDEX(Plugins!$F$5:$F$41,MATCH($B39,Plugins!$B$5:$B$41,0))&lt;=Weights!$B$16,5,IF(INDEX(Plugins!$F$5:$F$41,MATCH($B39,Plugins!$B$5:$B$41,0))&lt;=Weights!$B$17,4,IF(INDEX(Plugins!$F$5:$F$41,MATCH($B39,Plugins!$B$5:$B$41,0))&lt;=Weights!$B$18,3,IF(INDEX(Plugins!$F$5:$F$41,MATCH($B39,Plugins!$B$5:$B$41,0))&lt;=Weights!$B$19,2,1))))</f>
        <v>5</v>
      </c>
      <c r="V39" s="17" t="n">
        <f aca="false">IF(INDEX(Plugins!$D$5:$D$41,MATCH($B39,Plugins!$B$5:$B$41,0))&gt;=Weights!$B$22,5,IF(INDEX(Plugins!$D$5:$D$41,MATCH($B39,Plugins!$B$5:$B$41,0))&gt;=Weights!$B$23,4,IF(INDEX(Plugins!$D$5:$D$41,MATCH($B39,Plugins!$B$5:$B$41,0))&gt;=Weights!$B$24,3,IF(INDEX(Plugins!$D$5:$D$41,MATCH($B39,Plugins!$B$5:$B$41,0))&gt;=Weights!$B$25,2,1))))</f>
        <v>2</v>
      </c>
      <c r="W39" s="16" t="str">
        <f aca="false">IF(INDEX(Plugins!$H$5:$H$41,MATCH($B39,Plugins!$B$5:$B$41,0))=0,"",INDEX(Plugins!$G$5:$G$41,MATCH($B39,Plugins!$B$5:$B$41,0))/20)</f>
        <v/>
      </c>
      <c r="X39" s="17" t="n">
        <f aca="false">IF(INDEX(Plugins!$I$5:$I$41,MATCH($B39,Plugins!$B$5:$B$41,0))="Y",5,2)</f>
        <v>5</v>
      </c>
      <c r="Y39" s="14"/>
      <c r="Z39" s="14"/>
      <c r="AA39" s="15" t="n">
        <f aca="false">IF(COUNT(U39:Z39)=0,0,AVERAGE(U39:Z39)/5*Weights!$B$9)</f>
        <v>12</v>
      </c>
      <c r="AB39" s="18"/>
      <c r="AC39" s="19" t="n">
        <f aca="false">I39+P39+T39+AA39</f>
        <v>12</v>
      </c>
      <c r="AD39" s="19" t="n">
        <f aca="false">IF(AB39="Y",MIN(AC39,Weights!$B$13),AC39)</f>
        <v>12</v>
      </c>
      <c r="AE39" s="20" t="str">
        <f aca="false">IF(AND(COUNT(D39:H39)&gt;0,COUNT(J39:O39)&gt;0),RANK(AD39,$AD$5:$AD$40),"")</f>
        <v/>
      </c>
      <c r="AF39" s="21"/>
    </row>
    <row r="40" customFormat="false" ht="23.85" hidden="false" customHeight="false" outlineLevel="0" collapsed="false">
      <c r="A40" s="12" t="s">
        <v>92</v>
      </c>
      <c r="B40" s="12" t="s">
        <v>127</v>
      </c>
      <c r="C40" s="13" t="s">
        <v>128</v>
      </c>
      <c r="D40" s="14"/>
      <c r="E40" s="14"/>
      <c r="F40" s="14"/>
      <c r="G40" s="14"/>
      <c r="H40" s="14"/>
      <c r="I40" s="15" t="n">
        <f aca="false">IF(COUNT(D40:H40)=0,0,AVERAGE(D40:H40)/5*Weights!$B$6)</f>
        <v>0</v>
      </c>
      <c r="J40" s="14"/>
      <c r="K40" s="14"/>
      <c r="L40" s="14"/>
      <c r="M40" s="14"/>
      <c r="N40" s="14"/>
      <c r="O40" s="14"/>
      <c r="P40" s="15" t="n">
        <f aca="false">IF(COUNT(J40:O40)=0,0,AVERAGE(J40:O40)/5*Weights!$B$7)</f>
        <v>0</v>
      </c>
      <c r="Q40" s="16" t="str">
        <f aca="false">IFERROR(IF(INDEX(Tasks!$K$5:$K$40,MATCH($B40,Tasks!$A$5:$A$40,0))="","",INDEX(Tasks!$K$5:$K$40,MATCH($B40,Tasks!$A$5:$A$40,0))*5),"")</f>
        <v/>
      </c>
      <c r="R40" s="14"/>
      <c r="S40" s="14"/>
      <c r="T40" s="15" t="n">
        <f aca="false">IF(COUNT(Q40:S40)=0,0,AVERAGE(Q40:S40)/5*Weights!$B$8)</f>
        <v>0</v>
      </c>
      <c r="U40" s="17" t="n">
        <f aca="false">IF(INDEX(Plugins!$F$5:$F$41,MATCH($B40,Plugins!$B$5:$B$41,0))&lt;=Weights!$B$16,5,IF(INDEX(Plugins!$F$5:$F$41,MATCH($B40,Plugins!$B$5:$B$41,0))&lt;=Weights!$B$17,4,IF(INDEX(Plugins!$F$5:$F$41,MATCH($B40,Plugins!$B$5:$B$41,0))&lt;=Weights!$B$18,3,IF(INDEX(Plugins!$F$5:$F$41,MATCH($B40,Plugins!$B$5:$B$41,0))&lt;=Weights!$B$19,2,1))))</f>
        <v>4</v>
      </c>
      <c r="V40" s="17" t="n">
        <f aca="false">IF(INDEX(Plugins!$D$5:$D$41,MATCH($B40,Plugins!$B$5:$B$41,0))&gt;=Weights!$B$22,5,IF(INDEX(Plugins!$D$5:$D$41,MATCH($B40,Plugins!$B$5:$B$41,0))&gt;=Weights!$B$23,4,IF(INDEX(Plugins!$D$5:$D$41,MATCH($B40,Plugins!$B$5:$B$41,0))&gt;=Weights!$B$24,3,IF(INDEX(Plugins!$D$5:$D$41,MATCH($B40,Plugins!$B$5:$B$41,0))&gt;=Weights!$B$25,2,1))))</f>
        <v>2</v>
      </c>
      <c r="W40" s="16" t="str">
        <f aca="false">IF(INDEX(Plugins!$H$5:$H$41,MATCH($B40,Plugins!$B$5:$B$41,0))=0,"",INDEX(Plugins!$G$5:$G$41,MATCH($B40,Plugins!$B$5:$B$41,0))/20)</f>
        <v/>
      </c>
      <c r="X40" s="17" t="n">
        <f aca="false">IF(INDEX(Plugins!$I$5:$I$41,MATCH($B40,Plugins!$B$5:$B$41,0))="Y",5,2)</f>
        <v>5</v>
      </c>
      <c r="Y40" s="14"/>
      <c r="Z40" s="14"/>
      <c r="AA40" s="15" t="n">
        <f aca="false">IF(COUNT(U40:Z40)=0,0,AVERAGE(U40:Z40)/5*Weights!$B$9)</f>
        <v>11</v>
      </c>
      <c r="AB40" s="18"/>
      <c r="AC40" s="19" t="n">
        <f aca="false">I40+P40+T40+AA40</f>
        <v>11</v>
      </c>
      <c r="AD40" s="19" t="n">
        <f aca="false">IF(AB40="Y",MIN(AC40,Weights!$B$13),AC40)</f>
        <v>11</v>
      </c>
      <c r="AE40" s="20" t="str">
        <f aca="false">IF(AND(COUNT(D40:H40)&gt;0,COUNT(J40:O40)&gt;0),RANK(AD40,$AD$5:$AD$40),"")</f>
        <v/>
      </c>
      <c r="AF40" s="21"/>
    </row>
  </sheetData>
  <conditionalFormatting sqref="AB5:AB40">
    <cfRule type="cellIs" priority="2" operator="equal" aboveAverage="0" equalAverage="0" bottom="0" percent="0" rank="0" text="" dxfId="0">
      <formula>"Y"</formula>
    </cfRule>
  </conditionalFormatting>
  <dataValidations count="2">
    <dataValidation allowBlank="true" error="Enter a whole number from 0 to 5." errorStyle="stop" errorTitle="Invalid score" operator="between" showDropDown="false" showErrorMessage="true" showInputMessage="false" sqref="D5:H40 J5:O40 R5:S40 Y5:Z40" type="whole">
      <formula1>0</formula1>
      <formula2>5</formula2>
    </dataValidation>
    <dataValidation allowBlank="true" errorStyle="stop" operator="between" showDropDown="false" showErrorMessage="false" showInputMessage="false" sqref="AB5:AB4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10" min="3" style="0" width="15"/>
    <col collapsed="false" customWidth="true" hidden="false" outlineLevel="0" max="12" min="11" style="0" width="10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4" t="s">
        <v>130</v>
      </c>
    </row>
    <row r="4" customFormat="false" ht="66" hidden="false" customHeight="true" outlineLevel="0" collapsed="false">
      <c r="A4" s="9" t="s">
        <v>27</v>
      </c>
      <c r="B4" s="9" t="s">
        <v>28</v>
      </c>
      <c r="C4" s="9" t="s">
        <v>131</v>
      </c>
      <c r="D4" s="9" t="s">
        <v>132</v>
      </c>
      <c r="E4" s="9" t="s">
        <v>133</v>
      </c>
      <c r="F4" s="9" t="s">
        <v>134</v>
      </c>
      <c r="G4" s="9" t="s">
        <v>135</v>
      </c>
      <c r="H4" s="9" t="s">
        <v>136</v>
      </c>
      <c r="I4" s="9" t="s">
        <v>137</v>
      </c>
      <c r="J4" s="9" t="s">
        <v>138</v>
      </c>
      <c r="K4" s="9" t="s">
        <v>139</v>
      </c>
      <c r="L4" s="9" t="s">
        <v>140</v>
      </c>
    </row>
    <row r="5" customFormat="false" ht="23.85" hidden="false" customHeight="false" outlineLevel="0" collapsed="false">
      <c r="A5" s="22" t="s">
        <v>56</v>
      </c>
      <c r="B5" s="13" t="s">
        <v>57</v>
      </c>
      <c r="C5" s="14"/>
      <c r="D5" s="14"/>
      <c r="E5" s="14"/>
      <c r="F5" s="14"/>
      <c r="G5" s="14"/>
      <c r="H5" s="14"/>
      <c r="I5" s="14"/>
      <c r="J5" s="14"/>
      <c r="K5" s="23" t="str">
        <f aca="false">IF(COUNTA(C5:J5)=0,"",(COUNTIF(C5:J5,"Pass")+0.5*COUNTIF(C5:J5,"Partial"))/COUNTA(C5:J5))</f>
        <v/>
      </c>
      <c r="L5" s="17" t="n">
        <f aca="false">COUNTA(C5:J5)</f>
        <v>0</v>
      </c>
    </row>
    <row r="6" customFormat="false" ht="23.85" hidden="false" customHeight="false" outlineLevel="0" collapsed="false">
      <c r="A6" s="22" t="s">
        <v>58</v>
      </c>
      <c r="B6" s="13" t="s">
        <v>59</v>
      </c>
      <c r="C6" s="14"/>
      <c r="D6" s="14"/>
      <c r="E6" s="14"/>
      <c r="F6" s="14"/>
      <c r="G6" s="14"/>
      <c r="H6" s="14"/>
      <c r="I6" s="14"/>
      <c r="J6" s="14"/>
      <c r="K6" s="23" t="str">
        <f aca="false">IF(COUNTA(C6:J6)=0,"",(COUNTIF(C6:J6,"Pass")+0.5*COUNTIF(C6:J6,"Partial"))/COUNTA(C6:J6))</f>
        <v/>
      </c>
      <c r="L6" s="17" t="n">
        <f aca="false">COUNTA(C6:J6)</f>
        <v>0</v>
      </c>
    </row>
    <row r="7" customFormat="false" ht="23.85" hidden="false" customHeight="false" outlineLevel="0" collapsed="false">
      <c r="A7" s="22" t="s">
        <v>60</v>
      </c>
      <c r="B7" s="13" t="s">
        <v>61</v>
      </c>
      <c r="C7" s="14"/>
      <c r="D7" s="14"/>
      <c r="E7" s="14"/>
      <c r="F7" s="14"/>
      <c r="G7" s="14"/>
      <c r="H7" s="14"/>
      <c r="I7" s="14"/>
      <c r="J7" s="14"/>
      <c r="K7" s="23" t="str">
        <f aca="false">IF(COUNTA(C7:J7)=0,"",(COUNTIF(C7:J7,"Pass")+0.5*COUNTIF(C7:J7,"Partial"))/COUNTA(C7:J7))</f>
        <v/>
      </c>
      <c r="L7" s="17" t="n">
        <f aca="false">COUNTA(C7:J7)</f>
        <v>0</v>
      </c>
    </row>
    <row r="8" customFormat="false" ht="23.85" hidden="false" customHeight="false" outlineLevel="0" collapsed="false">
      <c r="A8" s="22" t="s">
        <v>62</v>
      </c>
      <c r="B8" s="13" t="s">
        <v>63</v>
      </c>
      <c r="C8" s="14"/>
      <c r="D8" s="14"/>
      <c r="E8" s="14"/>
      <c r="F8" s="14"/>
      <c r="G8" s="14"/>
      <c r="H8" s="14"/>
      <c r="I8" s="14"/>
      <c r="J8" s="14"/>
      <c r="K8" s="23" t="str">
        <f aca="false">IF(COUNTA(C8:J8)=0,"",(COUNTIF(C8:J8,"Pass")+0.5*COUNTIF(C8:J8,"Partial"))/COUNTA(C8:J8))</f>
        <v/>
      </c>
      <c r="L8" s="17" t="n">
        <f aca="false">COUNTA(C8:J8)</f>
        <v>0</v>
      </c>
    </row>
    <row r="9" customFormat="false" ht="23.85" hidden="false" customHeight="false" outlineLevel="0" collapsed="false">
      <c r="A9" s="22" t="s">
        <v>64</v>
      </c>
      <c r="B9" s="13" t="s">
        <v>65</v>
      </c>
      <c r="C9" s="14"/>
      <c r="D9" s="14"/>
      <c r="E9" s="14"/>
      <c r="F9" s="14"/>
      <c r="G9" s="14"/>
      <c r="H9" s="14"/>
      <c r="I9" s="14"/>
      <c r="J9" s="14"/>
      <c r="K9" s="23" t="str">
        <f aca="false">IF(COUNTA(C9:J9)=0,"",(COUNTIF(C9:J9,"Pass")+0.5*COUNTIF(C9:J9,"Partial"))/COUNTA(C9:J9))</f>
        <v/>
      </c>
      <c r="L9" s="17" t="n">
        <f aca="false">COUNTA(C9:J9)</f>
        <v>0</v>
      </c>
    </row>
    <row r="10" customFormat="false" ht="23.85" hidden="false" customHeight="false" outlineLevel="0" collapsed="false">
      <c r="A10" s="22" t="s">
        <v>66</v>
      </c>
      <c r="B10" s="13" t="s">
        <v>67</v>
      </c>
      <c r="C10" s="14"/>
      <c r="D10" s="14"/>
      <c r="E10" s="14"/>
      <c r="F10" s="14"/>
      <c r="G10" s="14"/>
      <c r="H10" s="14"/>
      <c r="I10" s="14"/>
      <c r="J10" s="14"/>
      <c r="K10" s="23" t="str">
        <f aca="false">IF(COUNTA(C10:J10)=0,"",(COUNTIF(C10:J10,"Pass")+0.5*COUNTIF(C10:J10,"Partial"))/COUNTA(C10:J10))</f>
        <v/>
      </c>
      <c r="L10" s="17" t="n">
        <f aca="false">COUNTA(C10:J10)</f>
        <v>0</v>
      </c>
    </row>
    <row r="11" customFormat="false" ht="23.85" hidden="false" customHeight="false" outlineLevel="0" collapsed="false">
      <c r="A11" s="22" t="s">
        <v>68</v>
      </c>
      <c r="B11" s="13" t="s">
        <v>69</v>
      </c>
      <c r="C11" s="14"/>
      <c r="D11" s="14"/>
      <c r="E11" s="14"/>
      <c r="F11" s="14"/>
      <c r="G11" s="14"/>
      <c r="H11" s="14"/>
      <c r="I11" s="14"/>
      <c r="J11" s="14"/>
      <c r="K11" s="23" t="str">
        <f aca="false">IF(COUNTA(C11:J11)=0,"",(COUNTIF(C11:J11,"Pass")+0.5*COUNTIF(C11:J11,"Partial"))/COUNTA(C11:J11))</f>
        <v/>
      </c>
      <c r="L11" s="17" t="n">
        <f aca="false">COUNTA(C11:J11)</f>
        <v>0</v>
      </c>
    </row>
    <row r="12" customFormat="false" ht="23.85" hidden="false" customHeight="false" outlineLevel="0" collapsed="false">
      <c r="A12" s="22" t="s">
        <v>70</v>
      </c>
      <c r="B12" s="13" t="s">
        <v>71</v>
      </c>
      <c r="C12" s="14"/>
      <c r="D12" s="14"/>
      <c r="E12" s="14"/>
      <c r="F12" s="14"/>
      <c r="G12" s="14"/>
      <c r="H12" s="14"/>
      <c r="I12" s="14"/>
      <c r="J12" s="14"/>
      <c r="K12" s="23" t="str">
        <f aca="false">IF(COUNTA(C12:J12)=0,"",(COUNTIF(C12:J12,"Pass")+0.5*COUNTIF(C12:J12,"Partial"))/COUNTA(C12:J12))</f>
        <v/>
      </c>
      <c r="L12" s="17" t="n">
        <f aca="false">COUNTA(C12:J12)</f>
        <v>0</v>
      </c>
    </row>
    <row r="13" customFormat="false" ht="23.85" hidden="false" customHeight="false" outlineLevel="0" collapsed="false">
      <c r="A13" s="22" t="s">
        <v>72</v>
      </c>
      <c r="B13" s="13" t="s">
        <v>73</v>
      </c>
      <c r="C13" s="14"/>
      <c r="D13" s="14"/>
      <c r="E13" s="14"/>
      <c r="F13" s="14"/>
      <c r="G13" s="14"/>
      <c r="H13" s="14"/>
      <c r="I13" s="14"/>
      <c r="J13" s="14"/>
      <c r="K13" s="23" t="str">
        <f aca="false">IF(COUNTA(C13:J13)=0,"",(COUNTIF(C13:J13,"Pass")+0.5*COUNTIF(C13:J13,"Partial"))/COUNTA(C13:J13))</f>
        <v/>
      </c>
      <c r="L13" s="17" t="n">
        <f aca="false">COUNTA(C13:J13)</f>
        <v>0</v>
      </c>
    </row>
    <row r="14" customFormat="false" ht="15" hidden="false" customHeight="false" outlineLevel="0" collapsed="false">
      <c r="A14" s="22" t="s">
        <v>74</v>
      </c>
      <c r="B14" s="13" t="s">
        <v>75</v>
      </c>
      <c r="C14" s="14"/>
      <c r="D14" s="14"/>
      <c r="E14" s="14"/>
      <c r="F14" s="14"/>
      <c r="G14" s="14"/>
      <c r="H14" s="14"/>
      <c r="I14" s="14"/>
      <c r="J14" s="14"/>
      <c r="K14" s="23" t="str">
        <f aca="false">IF(COUNTA(C14:J14)=0,"",(COUNTIF(C14:J14,"Pass")+0.5*COUNTIF(C14:J14,"Partial"))/COUNTA(C14:J14))</f>
        <v/>
      </c>
      <c r="L14" s="17" t="n">
        <f aca="false">COUNTA(C14:J14)</f>
        <v>0</v>
      </c>
    </row>
    <row r="15" customFormat="false" ht="23.85" hidden="false" customHeight="false" outlineLevel="0" collapsed="false">
      <c r="A15" s="22" t="s">
        <v>76</v>
      </c>
      <c r="B15" s="13" t="s">
        <v>77</v>
      </c>
      <c r="C15" s="14"/>
      <c r="D15" s="14"/>
      <c r="E15" s="14"/>
      <c r="F15" s="14"/>
      <c r="G15" s="14"/>
      <c r="H15" s="14"/>
      <c r="I15" s="14"/>
      <c r="J15" s="14"/>
      <c r="K15" s="23" t="str">
        <f aca="false">IF(COUNTA(C15:J15)=0,"",(COUNTIF(C15:J15,"Pass")+0.5*COUNTIF(C15:J15,"Partial"))/COUNTA(C15:J15))</f>
        <v/>
      </c>
      <c r="L15" s="17" t="n">
        <f aca="false">COUNTA(C15:J15)</f>
        <v>0</v>
      </c>
    </row>
    <row r="16" customFormat="false" ht="35.05" hidden="false" customHeight="false" outlineLevel="0" collapsed="false">
      <c r="A16" s="22" t="s">
        <v>78</v>
      </c>
      <c r="B16" s="13" t="s">
        <v>79</v>
      </c>
      <c r="C16" s="14"/>
      <c r="D16" s="14"/>
      <c r="E16" s="14"/>
      <c r="F16" s="14"/>
      <c r="G16" s="14"/>
      <c r="H16" s="14"/>
      <c r="I16" s="14"/>
      <c r="J16" s="14"/>
      <c r="K16" s="23" t="str">
        <f aca="false">IF(COUNTA(C16:J16)=0,"",(COUNTIF(C16:J16,"Pass")+0.5*COUNTIF(C16:J16,"Partial"))/COUNTA(C16:J16))</f>
        <v/>
      </c>
      <c r="L16" s="17" t="n">
        <f aca="false">COUNTA(C16:J16)</f>
        <v>0</v>
      </c>
    </row>
    <row r="17" customFormat="false" ht="15" hidden="false" customHeight="false" outlineLevel="0" collapsed="false">
      <c r="A17" s="22" t="s">
        <v>80</v>
      </c>
      <c r="B17" s="13" t="s">
        <v>81</v>
      </c>
      <c r="C17" s="14"/>
      <c r="D17" s="14"/>
      <c r="E17" s="14"/>
      <c r="F17" s="14"/>
      <c r="G17" s="14"/>
      <c r="H17" s="14"/>
      <c r="I17" s="14"/>
      <c r="J17" s="14"/>
      <c r="K17" s="23" t="str">
        <f aca="false">IF(COUNTA(C17:J17)=0,"",(COUNTIF(C17:J17,"Pass")+0.5*COUNTIF(C17:J17,"Partial"))/COUNTA(C17:J17))</f>
        <v/>
      </c>
      <c r="L17" s="17" t="n">
        <f aca="false">COUNTA(C17:J17)</f>
        <v>0</v>
      </c>
    </row>
    <row r="18" customFormat="false" ht="15" hidden="false" customHeight="false" outlineLevel="0" collapsed="false">
      <c r="A18" s="22" t="s">
        <v>82</v>
      </c>
      <c r="B18" s="13" t="s">
        <v>83</v>
      </c>
      <c r="C18" s="14"/>
      <c r="D18" s="14"/>
      <c r="E18" s="14"/>
      <c r="F18" s="14"/>
      <c r="G18" s="14"/>
      <c r="H18" s="14"/>
      <c r="I18" s="14"/>
      <c r="J18" s="14"/>
      <c r="K18" s="23" t="str">
        <f aca="false">IF(COUNTA(C18:J18)=0,"",(COUNTIF(C18:J18,"Pass")+0.5*COUNTIF(C18:J18,"Partial"))/COUNTA(C18:J18))</f>
        <v/>
      </c>
      <c r="L18" s="17" t="n">
        <f aca="false">COUNTA(C18:J18)</f>
        <v>0</v>
      </c>
    </row>
    <row r="19" customFormat="false" ht="23.85" hidden="false" customHeight="false" outlineLevel="0" collapsed="false">
      <c r="A19" s="22" t="s">
        <v>84</v>
      </c>
      <c r="B19" s="13" t="s">
        <v>85</v>
      </c>
      <c r="C19" s="14"/>
      <c r="D19" s="14"/>
      <c r="E19" s="14"/>
      <c r="F19" s="14"/>
      <c r="G19" s="14"/>
      <c r="H19" s="14"/>
      <c r="I19" s="14"/>
      <c r="J19" s="14"/>
      <c r="K19" s="23" t="str">
        <f aca="false">IF(COUNTA(C19:J19)=0,"",(COUNTIF(C19:J19,"Pass")+0.5*COUNTIF(C19:J19,"Partial"))/COUNTA(C19:J19))</f>
        <v/>
      </c>
      <c r="L19" s="17" t="n">
        <f aca="false">COUNTA(C19:J19)</f>
        <v>0</v>
      </c>
    </row>
    <row r="20" customFormat="false" ht="23.85" hidden="false" customHeight="false" outlineLevel="0" collapsed="false">
      <c r="A20" s="22" t="s">
        <v>86</v>
      </c>
      <c r="B20" s="13" t="s">
        <v>87</v>
      </c>
      <c r="C20" s="14"/>
      <c r="D20" s="14"/>
      <c r="E20" s="14"/>
      <c r="F20" s="14"/>
      <c r="G20" s="14"/>
      <c r="H20" s="14"/>
      <c r="I20" s="14"/>
      <c r="J20" s="14"/>
      <c r="K20" s="23" t="str">
        <f aca="false">IF(COUNTA(C20:J20)=0,"",(COUNTIF(C20:J20,"Pass")+0.5*COUNTIF(C20:J20,"Partial"))/COUNTA(C20:J20))</f>
        <v/>
      </c>
      <c r="L20" s="17" t="n">
        <f aca="false">COUNTA(C20:J20)</f>
        <v>0</v>
      </c>
    </row>
    <row r="21" customFormat="false" ht="23.85" hidden="false" customHeight="false" outlineLevel="0" collapsed="false">
      <c r="A21" s="22" t="s">
        <v>88</v>
      </c>
      <c r="B21" s="13" t="s">
        <v>89</v>
      </c>
      <c r="C21" s="14"/>
      <c r="D21" s="14"/>
      <c r="E21" s="14"/>
      <c r="F21" s="14"/>
      <c r="G21" s="14"/>
      <c r="H21" s="14"/>
      <c r="I21" s="14"/>
      <c r="J21" s="14"/>
      <c r="K21" s="23" t="str">
        <f aca="false">IF(COUNTA(C21:J21)=0,"",(COUNTIF(C21:J21,"Pass")+0.5*COUNTIF(C21:J21,"Partial"))/COUNTA(C21:J21))</f>
        <v/>
      </c>
      <c r="L21" s="17" t="n">
        <f aca="false">COUNTA(C21:J21)</f>
        <v>0</v>
      </c>
    </row>
    <row r="22" customFormat="false" ht="15" hidden="false" customHeight="false" outlineLevel="0" collapsed="false">
      <c r="A22" s="22" t="s">
        <v>90</v>
      </c>
      <c r="B22" s="13" t="s">
        <v>91</v>
      </c>
      <c r="C22" s="14"/>
      <c r="D22" s="14"/>
      <c r="E22" s="14"/>
      <c r="F22" s="14"/>
      <c r="G22" s="14"/>
      <c r="H22" s="14"/>
      <c r="I22" s="14"/>
      <c r="J22" s="14"/>
      <c r="K22" s="23" t="str">
        <f aca="false">IF(COUNTA(C22:J22)=0,"",(COUNTIF(C22:J22,"Pass")+0.5*COUNTIF(C22:J22,"Partial"))/COUNTA(C22:J22))</f>
        <v/>
      </c>
      <c r="L22" s="17" t="n">
        <f aca="false">COUNTA(C22:J22)</f>
        <v>0</v>
      </c>
    </row>
    <row r="23" customFormat="false" ht="15" hidden="false" customHeight="false" outlineLevel="0" collapsed="false">
      <c r="A23" s="22" t="s">
        <v>93</v>
      </c>
      <c r="B23" s="13" t="s">
        <v>94</v>
      </c>
      <c r="C23" s="14"/>
      <c r="D23" s="14"/>
      <c r="E23" s="14"/>
      <c r="F23" s="14"/>
      <c r="G23" s="14"/>
      <c r="H23" s="14"/>
      <c r="I23" s="14"/>
      <c r="J23" s="14"/>
      <c r="K23" s="23" t="str">
        <f aca="false">IF(COUNTA(C23:J23)=0,"",(COUNTIF(C23:J23,"Pass")+0.5*COUNTIF(C23:J23,"Partial"))/COUNTA(C23:J23))</f>
        <v/>
      </c>
      <c r="L23" s="17" t="n">
        <f aca="false">COUNTA(C23:J23)</f>
        <v>0</v>
      </c>
    </row>
    <row r="24" customFormat="false" ht="35.05" hidden="false" customHeight="false" outlineLevel="0" collapsed="false">
      <c r="A24" s="22" t="s">
        <v>95</v>
      </c>
      <c r="B24" s="13" t="s">
        <v>96</v>
      </c>
      <c r="C24" s="14"/>
      <c r="D24" s="14"/>
      <c r="E24" s="14"/>
      <c r="F24" s="14"/>
      <c r="G24" s="14"/>
      <c r="H24" s="14"/>
      <c r="I24" s="14"/>
      <c r="J24" s="14"/>
      <c r="K24" s="23" t="str">
        <f aca="false">IF(COUNTA(C24:J24)=0,"",(COUNTIF(C24:J24,"Pass")+0.5*COUNTIF(C24:J24,"Partial"))/COUNTA(C24:J24))</f>
        <v/>
      </c>
      <c r="L24" s="17" t="n">
        <f aca="false">COUNTA(C24:J24)</f>
        <v>0</v>
      </c>
    </row>
    <row r="25" customFormat="false" ht="23.85" hidden="false" customHeight="false" outlineLevel="0" collapsed="false">
      <c r="A25" s="22" t="s">
        <v>97</v>
      </c>
      <c r="B25" s="13" t="s">
        <v>98</v>
      </c>
      <c r="C25" s="14"/>
      <c r="D25" s="14"/>
      <c r="E25" s="14"/>
      <c r="F25" s="14"/>
      <c r="G25" s="14"/>
      <c r="H25" s="14"/>
      <c r="I25" s="14"/>
      <c r="J25" s="14"/>
      <c r="K25" s="23" t="str">
        <f aca="false">IF(COUNTA(C25:J25)=0,"",(COUNTIF(C25:J25,"Pass")+0.5*COUNTIF(C25:J25,"Partial"))/COUNTA(C25:J25))</f>
        <v/>
      </c>
      <c r="L25" s="17" t="n">
        <f aca="false">COUNTA(C25:J25)</f>
        <v>0</v>
      </c>
    </row>
    <row r="26" customFormat="false" ht="15" hidden="false" customHeight="false" outlineLevel="0" collapsed="false">
      <c r="A26" s="22" t="s">
        <v>99</v>
      </c>
      <c r="B26" s="13" t="s">
        <v>100</v>
      </c>
      <c r="C26" s="14"/>
      <c r="D26" s="14"/>
      <c r="E26" s="14"/>
      <c r="F26" s="14"/>
      <c r="G26" s="14"/>
      <c r="H26" s="14"/>
      <c r="I26" s="14"/>
      <c r="J26" s="14"/>
      <c r="K26" s="23" t="str">
        <f aca="false">IF(COUNTA(C26:J26)=0,"",(COUNTIF(C26:J26,"Pass")+0.5*COUNTIF(C26:J26,"Partial"))/COUNTA(C26:J26))</f>
        <v/>
      </c>
      <c r="L26" s="17" t="n">
        <f aca="false">COUNTA(C26:J26)</f>
        <v>0</v>
      </c>
    </row>
    <row r="27" customFormat="false" ht="23.85" hidden="false" customHeight="false" outlineLevel="0" collapsed="false">
      <c r="A27" s="22" t="s">
        <v>101</v>
      </c>
      <c r="B27" s="13" t="s">
        <v>102</v>
      </c>
      <c r="C27" s="14"/>
      <c r="D27" s="14"/>
      <c r="E27" s="14"/>
      <c r="F27" s="14"/>
      <c r="G27" s="14"/>
      <c r="H27" s="14"/>
      <c r="I27" s="14"/>
      <c r="J27" s="14"/>
      <c r="K27" s="23" t="str">
        <f aca="false">IF(COUNTA(C27:J27)=0,"",(COUNTIF(C27:J27,"Pass")+0.5*COUNTIF(C27:J27,"Partial"))/COUNTA(C27:J27))</f>
        <v/>
      </c>
      <c r="L27" s="17" t="n">
        <f aca="false">COUNTA(C27:J27)</f>
        <v>0</v>
      </c>
    </row>
    <row r="28" customFormat="false" ht="23.85" hidden="false" customHeight="false" outlineLevel="0" collapsed="false">
      <c r="A28" s="22" t="s">
        <v>103</v>
      </c>
      <c r="B28" s="13" t="s">
        <v>104</v>
      </c>
      <c r="C28" s="14"/>
      <c r="D28" s="14"/>
      <c r="E28" s="14"/>
      <c r="F28" s="14"/>
      <c r="G28" s="14"/>
      <c r="H28" s="14"/>
      <c r="I28" s="14"/>
      <c r="J28" s="14"/>
      <c r="K28" s="23" t="str">
        <f aca="false">IF(COUNTA(C28:J28)=0,"",(COUNTIF(C28:J28,"Pass")+0.5*COUNTIF(C28:J28,"Partial"))/COUNTA(C28:J28))</f>
        <v/>
      </c>
      <c r="L28" s="17" t="n">
        <f aca="false">COUNTA(C28:J28)</f>
        <v>0</v>
      </c>
    </row>
    <row r="29" customFormat="false" ht="23.85" hidden="false" customHeight="false" outlineLevel="0" collapsed="false">
      <c r="A29" s="22" t="s">
        <v>105</v>
      </c>
      <c r="B29" s="13" t="s">
        <v>106</v>
      </c>
      <c r="C29" s="14"/>
      <c r="D29" s="14"/>
      <c r="E29" s="14"/>
      <c r="F29" s="14"/>
      <c r="G29" s="14"/>
      <c r="H29" s="14"/>
      <c r="I29" s="14"/>
      <c r="J29" s="14"/>
      <c r="K29" s="23" t="str">
        <f aca="false">IF(COUNTA(C29:J29)=0,"",(COUNTIF(C29:J29,"Pass")+0.5*COUNTIF(C29:J29,"Partial"))/COUNTA(C29:J29))</f>
        <v/>
      </c>
      <c r="L29" s="17" t="n">
        <f aca="false">COUNTA(C29:J29)</f>
        <v>0</v>
      </c>
    </row>
    <row r="30" customFormat="false" ht="15" hidden="false" customHeight="false" outlineLevel="0" collapsed="false">
      <c r="A30" s="22" t="s">
        <v>107</v>
      </c>
      <c r="B30" s="13" t="s">
        <v>108</v>
      </c>
      <c r="C30" s="14"/>
      <c r="D30" s="14"/>
      <c r="E30" s="14"/>
      <c r="F30" s="14"/>
      <c r="G30" s="14"/>
      <c r="H30" s="14"/>
      <c r="I30" s="14"/>
      <c r="J30" s="14"/>
      <c r="K30" s="23" t="str">
        <f aca="false">IF(COUNTA(C30:J30)=0,"",(COUNTIF(C30:J30,"Pass")+0.5*COUNTIF(C30:J30,"Partial"))/COUNTA(C30:J30))</f>
        <v/>
      </c>
      <c r="L30" s="17" t="n">
        <f aca="false">COUNTA(C30:J30)</f>
        <v>0</v>
      </c>
    </row>
    <row r="31" customFormat="false" ht="15" hidden="false" customHeight="false" outlineLevel="0" collapsed="false">
      <c r="A31" s="22" t="s">
        <v>109</v>
      </c>
      <c r="B31" s="13" t="s">
        <v>110</v>
      </c>
      <c r="C31" s="14"/>
      <c r="D31" s="14"/>
      <c r="E31" s="14"/>
      <c r="F31" s="14"/>
      <c r="G31" s="14"/>
      <c r="H31" s="14"/>
      <c r="I31" s="14"/>
      <c r="J31" s="14"/>
      <c r="K31" s="23" t="str">
        <f aca="false">IF(COUNTA(C31:J31)=0,"",(COUNTIF(C31:J31,"Pass")+0.5*COUNTIF(C31:J31,"Partial"))/COUNTA(C31:J31))</f>
        <v/>
      </c>
      <c r="L31" s="17" t="n">
        <f aca="false">COUNTA(C31:J31)</f>
        <v>0</v>
      </c>
    </row>
    <row r="32" customFormat="false" ht="15" hidden="false" customHeight="false" outlineLevel="0" collapsed="false">
      <c r="A32" s="22" t="s">
        <v>111</v>
      </c>
      <c r="B32" s="13" t="s">
        <v>112</v>
      </c>
      <c r="C32" s="14"/>
      <c r="D32" s="14"/>
      <c r="E32" s="14"/>
      <c r="F32" s="14"/>
      <c r="G32" s="14"/>
      <c r="H32" s="14"/>
      <c r="I32" s="14"/>
      <c r="J32" s="14"/>
      <c r="K32" s="23" t="str">
        <f aca="false">IF(COUNTA(C32:J32)=0,"",(COUNTIF(C32:J32,"Pass")+0.5*COUNTIF(C32:J32,"Partial"))/COUNTA(C32:J32))</f>
        <v/>
      </c>
      <c r="L32" s="17" t="n">
        <f aca="false">COUNTA(C32:J32)</f>
        <v>0</v>
      </c>
    </row>
    <row r="33" customFormat="false" ht="15" hidden="false" customHeight="false" outlineLevel="0" collapsed="false">
      <c r="A33" s="22" t="s">
        <v>113</v>
      </c>
      <c r="B33" s="13" t="s">
        <v>114</v>
      </c>
      <c r="C33" s="14"/>
      <c r="D33" s="14"/>
      <c r="E33" s="14"/>
      <c r="F33" s="14"/>
      <c r="G33" s="14"/>
      <c r="H33" s="14"/>
      <c r="I33" s="14"/>
      <c r="J33" s="14"/>
      <c r="K33" s="23" t="str">
        <f aca="false">IF(COUNTA(C33:J33)=0,"",(COUNTIF(C33:J33,"Pass")+0.5*COUNTIF(C33:J33,"Partial"))/COUNTA(C33:J33))</f>
        <v/>
      </c>
      <c r="L33" s="17" t="n">
        <f aca="false">COUNTA(C33:J33)</f>
        <v>0</v>
      </c>
    </row>
    <row r="34" customFormat="false" ht="15" hidden="false" customHeight="false" outlineLevel="0" collapsed="false">
      <c r="A34" s="22" t="s">
        <v>115</v>
      </c>
      <c r="B34" s="13" t="s">
        <v>116</v>
      </c>
      <c r="C34" s="14"/>
      <c r="D34" s="14"/>
      <c r="E34" s="14"/>
      <c r="F34" s="14"/>
      <c r="G34" s="14"/>
      <c r="H34" s="14"/>
      <c r="I34" s="14"/>
      <c r="J34" s="14"/>
      <c r="K34" s="23" t="str">
        <f aca="false">IF(COUNTA(C34:J34)=0,"",(COUNTIF(C34:J34,"Pass")+0.5*COUNTIF(C34:J34,"Partial"))/COUNTA(C34:J34))</f>
        <v/>
      </c>
      <c r="L34" s="17" t="n">
        <f aca="false">COUNTA(C34:J34)</f>
        <v>0</v>
      </c>
    </row>
    <row r="35" customFormat="false" ht="15" hidden="false" customHeight="false" outlineLevel="0" collapsed="false">
      <c r="A35" s="22" t="s">
        <v>117</v>
      </c>
      <c r="B35" s="13" t="s">
        <v>118</v>
      </c>
      <c r="C35" s="14"/>
      <c r="D35" s="14"/>
      <c r="E35" s="14"/>
      <c r="F35" s="14"/>
      <c r="G35" s="14"/>
      <c r="H35" s="14"/>
      <c r="I35" s="14"/>
      <c r="J35" s="14"/>
      <c r="K35" s="23" t="str">
        <f aca="false">IF(COUNTA(C35:J35)=0,"",(COUNTIF(C35:J35,"Pass")+0.5*COUNTIF(C35:J35,"Partial"))/COUNTA(C35:J35))</f>
        <v/>
      </c>
      <c r="L35" s="17" t="n">
        <f aca="false">COUNTA(C35:J35)</f>
        <v>0</v>
      </c>
    </row>
    <row r="36" customFormat="false" ht="15" hidden="false" customHeight="false" outlineLevel="0" collapsed="false">
      <c r="A36" s="22" t="s">
        <v>119</v>
      </c>
      <c r="B36" s="13" t="s">
        <v>120</v>
      </c>
      <c r="C36" s="14"/>
      <c r="D36" s="14"/>
      <c r="E36" s="14"/>
      <c r="F36" s="14"/>
      <c r="G36" s="14"/>
      <c r="H36" s="14"/>
      <c r="I36" s="14"/>
      <c r="J36" s="14"/>
      <c r="K36" s="23" t="str">
        <f aca="false">IF(COUNTA(C36:J36)=0,"",(COUNTIF(C36:J36,"Pass")+0.5*COUNTIF(C36:J36,"Partial"))/COUNTA(C36:J36))</f>
        <v/>
      </c>
      <c r="L36" s="17" t="n">
        <f aca="false">COUNTA(C36:J36)</f>
        <v>0</v>
      </c>
    </row>
    <row r="37" customFormat="false" ht="15" hidden="false" customHeight="false" outlineLevel="0" collapsed="false">
      <c r="A37" s="22" t="s">
        <v>121</v>
      </c>
      <c r="B37" s="13" t="s">
        <v>122</v>
      </c>
      <c r="C37" s="14"/>
      <c r="D37" s="14"/>
      <c r="E37" s="14"/>
      <c r="F37" s="14"/>
      <c r="G37" s="14"/>
      <c r="H37" s="14"/>
      <c r="I37" s="14"/>
      <c r="J37" s="14"/>
      <c r="K37" s="23" t="str">
        <f aca="false">IF(COUNTA(C37:J37)=0,"",(COUNTIF(C37:J37,"Pass")+0.5*COUNTIF(C37:J37,"Partial"))/COUNTA(C37:J37))</f>
        <v/>
      </c>
      <c r="L37" s="17" t="n">
        <f aca="false">COUNTA(C37:J37)</f>
        <v>0</v>
      </c>
    </row>
    <row r="38" customFormat="false" ht="15" hidden="false" customHeight="false" outlineLevel="0" collapsed="false">
      <c r="A38" s="22" t="s">
        <v>123</v>
      </c>
      <c r="B38" s="13" t="s">
        <v>124</v>
      </c>
      <c r="C38" s="14"/>
      <c r="D38" s="14"/>
      <c r="E38" s="14"/>
      <c r="F38" s="14"/>
      <c r="G38" s="14"/>
      <c r="H38" s="14"/>
      <c r="I38" s="14"/>
      <c r="J38" s="14"/>
      <c r="K38" s="23" t="str">
        <f aca="false">IF(COUNTA(C38:J38)=0,"",(COUNTIF(C38:J38,"Pass")+0.5*COUNTIF(C38:J38,"Partial"))/COUNTA(C38:J38))</f>
        <v/>
      </c>
      <c r="L38" s="17" t="n">
        <f aca="false">COUNTA(C38:J38)</f>
        <v>0</v>
      </c>
    </row>
    <row r="39" customFormat="false" ht="23.85" hidden="false" customHeight="false" outlineLevel="0" collapsed="false">
      <c r="A39" s="22" t="s">
        <v>125</v>
      </c>
      <c r="B39" s="13" t="s">
        <v>126</v>
      </c>
      <c r="C39" s="14"/>
      <c r="D39" s="14"/>
      <c r="E39" s="14"/>
      <c r="F39" s="14"/>
      <c r="G39" s="14"/>
      <c r="H39" s="14"/>
      <c r="I39" s="14"/>
      <c r="J39" s="14"/>
      <c r="K39" s="23" t="str">
        <f aca="false">IF(COUNTA(C39:J39)=0,"",(COUNTIF(C39:J39,"Pass")+0.5*COUNTIF(C39:J39,"Partial"))/COUNTA(C39:J39))</f>
        <v/>
      </c>
      <c r="L39" s="17" t="n">
        <f aca="false">COUNTA(C39:J39)</f>
        <v>0</v>
      </c>
    </row>
    <row r="40" customFormat="false" ht="23.85" hidden="false" customHeight="false" outlineLevel="0" collapsed="false">
      <c r="A40" s="22" t="s">
        <v>127</v>
      </c>
      <c r="B40" s="13" t="s">
        <v>128</v>
      </c>
      <c r="C40" s="14"/>
      <c r="D40" s="14"/>
      <c r="E40" s="14"/>
      <c r="F40" s="14"/>
      <c r="G40" s="14"/>
      <c r="H40" s="14"/>
      <c r="I40" s="14"/>
      <c r="J40" s="14"/>
      <c r="K40" s="23" t="str">
        <f aca="false">IF(COUNTA(C40:J40)=0,"",(COUNTIF(C40:J40,"Pass")+0.5*COUNTIF(C40:J40,"Partial"))/COUNTA(C40:J40))</f>
        <v/>
      </c>
      <c r="L40" s="17" t="n">
        <f aca="false">COUNTA(C40:J40)</f>
        <v>0</v>
      </c>
    </row>
  </sheetData>
  <conditionalFormatting sqref="C5:J40">
    <cfRule type="cellIs" priority="2" operator="equal" aboveAverage="0" equalAverage="0" bottom="0" percent="0" rank="0" text="" dxfId="1">
      <formula>"Pass"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0">
      <formula>"Fail"</formula>
    </cfRule>
  </conditionalFormatting>
  <dataValidations count="1">
    <dataValidation allowBlank="true" error="Use Pass, Partial or Fail." errorStyle="stop" errorTitle="Invalid result" operator="between" showDropDown="false" showErrorMessage="true" showInputMessage="false" sqref="C5:J40" type="list">
      <formula1>"Pass,Partial,Fail"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44"/>
    <col collapsed="false" customWidth="true" hidden="false" outlineLevel="0" max="12" min="12" style="0" width="80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4" t="s">
        <v>142</v>
      </c>
    </row>
    <row r="4" customFormat="false" ht="42" hidden="false" customHeight="true" outlineLevel="0" collapsed="false">
      <c r="A4" s="9" t="s">
        <v>26</v>
      </c>
      <c r="B4" s="9" t="s">
        <v>27</v>
      </c>
      <c r="C4" s="9" t="s">
        <v>28</v>
      </c>
      <c r="D4" s="9" t="s">
        <v>143</v>
      </c>
      <c r="E4" s="9" t="s">
        <v>144</v>
      </c>
      <c r="F4" s="9" t="s">
        <v>145</v>
      </c>
      <c r="G4" s="9" t="s">
        <v>146</v>
      </c>
      <c r="H4" s="9" t="s">
        <v>147</v>
      </c>
      <c r="I4" s="9" t="s">
        <v>148</v>
      </c>
      <c r="J4" s="9" t="s">
        <v>149</v>
      </c>
      <c r="K4" s="9" t="s">
        <v>150</v>
      </c>
      <c r="L4" s="9" t="s">
        <v>151</v>
      </c>
    </row>
    <row r="5" customFormat="false" ht="23.85" hidden="false" customHeight="false" outlineLevel="0" collapsed="false">
      <c r="A5" s="12" t="s">
        <v>55</v>
      </c>
      <c r="B5" s="12" t="s">
        <v>56</v>
      </c>
      <c r="C5" s="13" t="s">
        <v>57</v>
      </c>
      <c r="D5" s="24" t="n">
        <v>90000</v>
      </c>
      <c r="E5" s="25" t="n">
        <v>46309</v>
      </c>
      <c r="F5" s="26" t="n">
        <f aca="false">Weights!$B$3-E5</f>
        <v>1</v>
      </c>
      <c r="G5" s="12" t="n">
        <v>98</v>
      </c>
      <c r="H5" s="12" t="n">
        <v>871</v>
      </c>
      <c r="I5" s="12" t="s">
        <v>152</v>
      </c>
      <c r="J5" s="12" t="s">
        <v>152</v>
      </c>
      <c r="K5" s="27" t="s">
        <v>153</v>
      </c>
      <c r="L5" s="13" t="s">
        <v>154</v>
      </c>
    </row>
    <row r="6" customFormat="false" ht="23.85" hidden="false" customHeight="false" outlineLevel="0" collapsed="false">
      <c r="A6" s="12" t="s">
        <v>55</v>
      </c>
      <c r="B6" s="12" t="s">
        <v>58</v>
      </c>
      <c r="C6" s="13" t="s">
        <v>59</v>
      </c>
      <c r="D6" s="24" t="n">
        <v>70000</v>
      </c>
      <c r="E6" s="25" t="n">
        <v>46309</v>
      </c>
      <c r="F6" s="26" t="n">
        <f aca="false">Weights!$B$3-E6</f>
        <v>1</v>
      </c>
      <c r="G6" s="12" t="n">
        <v>100</v>
      </c>
      <c r="H6" s="12" t="n">
        <v>127</v>
      </c>
      <c r="I6" s="12" t="s">
        <v>152</v>
      </c>
      <c r="J6" s="12" t="s">
        <v>152</v>
      </c>
      <c r="K6" s="27" t="s">
        <v>155</v>
      </c>
      <c r="L6" s="13" t="s">
        <v>156</v>
      </c>
    </row>
    <row r="7" customFormat="false" ht="23.85" hidden="false" customHeight="false" outlineLevel="0" collapsed="false">
      <c r="A7" s="12" t="s">
        <v>55</v>
      </c>
      <c r="B7" s="12" t="s">
        <v>60</v>
      </c>
      <c r="C7" s="13" t="s">
        <v>61</v>
      </c>
      <c r="D7" s="24" t="n">
        <v>20000</v>
      </c>
      <c r="E7" s="25" t="n">
        <v>46310</v>
      </c>
      <c r="F7" s="26" t="n">
        <f aca="false">Weights!$B$3-E7</f>
        <v>0</v>
      </c>
      <c r="G7" s="12" t="n">
        <v>100</v>
      </c>
      <c r="H7" s="12" t="n">
        <v>14</v>
      </c>
      <c r="I7" s="12" t="s">
        <v>152</v>
      </c>
      <c r="J7" s="12" t="s">
        <v>152</v>
      </c>
      <c r="K7" s="27" t="s">
        <v>157</v>
      </c>
      <c r="L7" s="13" t="s">
        <v>158</v>
      </c>
    </row>
    <row r="8" customFormat="false" ht="23.85" hidden="false" customHeight="false" outlineLevel="0" collapsed="false">
      <c r="A8" s="12" t="s">
        <v>55</v>
      </c>
      <c r="B8" s="12" t="s">
        <v>62</v>
      </c>
      <c r="C8" s="13" t="s">
        <v>63</v>
      </c>
      <c r="D8" s="24" t="n">
        <v>10000</v>
      </c>
      <c r="E8" s="25" t="n">
        <v>46310</v>
      </c>
      <c r="F8" s="26" t="n">
        <f aca="false">Weights!$B$3-E8</f>
        <v>0</v>
      </c>
      <c r="G8" s="12" t="n">
        <v>100</v>
      </c>
      <c r="H8" s="12" t="n">
        <v>7</v>
      </c>
      <c r="I8" s="12" t="s">
        <v>152</v>
      </c>
      <c r="J8" s="12" t="s">
        <v>152</v>
      </c>
      <c r="K8" s="27" t="s">
        <v>159</v>
      </c>
      <c r="L8" s="13" t="s">
        <v>160</v>
      </c>
    </row>
    <row r="9" customFormat="false" ht="23.85" hidden="false" customHeight="false" outlineLevel="0" collapsed="false">
      <c r="A9" s="12" t="s">
        <v>55</v>
      </c>
      <c r="B9" s="12" t="s">
        <v>64</v>
      </c>
      <c r="C9" s="13" t="s">
        <v>65</v>
      </c>
      <c r="D9" s="24" t="n">
        <v>6000</v>
      </c>
      <c r="E9" s="25" t="n">
        <v>46303</v>
      </c>
      <c r="F9" s="26" t="n">
        <f aca="false">Weights!$B$3-E9</f>
        <v>7</v>
      </c>
      <c r="G9" s="12" t="n">
        <v>100</v>
      </c>
      <c r="H9" s="12" t="n">
        <v>9</v>
      </c>
      <c r="I9" s="12" t="s">
        <v>152</v>
      </c>
      <c r="J9" s="12" t="s">
        <v>152</v>
      </c>
      <c r="K9" s="27" t="s">
        <v>161</v>
      </c>
      <c r="L9" s="13" t="s">
        <v>162</v>
      </c>
    </row>
    <row r="10" customFormat="false" ht="23.85" hidden="false" customHeight="false" outlineLevel="0" collapsed="false">
      <c r="A10" s="12" t="s">
        <v>55</v>
      </c>
      <c r="B10" s="12" t="s">
        <v>66</v>
      </c>
      <c r="C10" s="13" t="s">
        <v>67</v>
      </c>
      <c r="D10" s="24" t="n">
        <v>2000</v>
      </c>
      <c r="E10" s="25" t="n">
        <v>46308</v>
      </c>
      <c r="F10" s="26" t="n">
        <f aca="false">Weights!$B$3-E10</f>
        <v>2</v>
      </c>
      <c r="G10" s="12" t="n">
        <v>100</v>
      </c>
      <c r="H10" s="12" t="n">
        <v>5</v>
      </c>
      <c r="I10" s="12" t="s">
        <v>152</v>
      </c>
      <c r="J10" s="12" t="s">
        <v>163</v>
      </c>
      <c r="K10" s="27" t="s">
        <v>164</v>
      </c>
      <c r="L10" s="13" t="s">
        <v>165</v>
      </c>
    </row>
    <row r="11" customFormat="false" ht="23.85" hidden="false" customHeight="false" outlineLevel="0" collapsed="false">
      <c r="A11" s="12" t="s">
        <v>55</v>
      </c>
      <c r="B11" s="12" t="s">
        <v>68</v>
      </c>
      <c r="C11" s="13" t="s">
        <v>69</v>
      </c>
      <c r="D11" s="24" t="n">
        <v>1000</v>
      </c>
      <c r="E11" s="25" t="n">
        <v>46309</v>
      </c>
      <c r="F11" s="26" t="n">
        <f aca="false">Weights!$B$3-E11</f>
        <v>1</v>
      </c>
      <c r="G11" s="12" t="n">
        <v>100</v>
      </c>
      <c r="H11" s="12" t="n">
        <v>4</v>
      </c>
      <c r="I11" s="12" t="s">
        <v>152</v>
      </c>
      <c r="J11" s="12" t="s">
        <v>152</v>
      </c>
      <c r="K11" s="27" t="s">
        <v>166</v>
      </c>
      <c r="L11" s="13" t="s">
        <v>167</v>
      </c>
    </row>
    <row r="12" customFormat="false" ht="23.85" hidden="false" customHeight="false" outlineLevel="0" collapsed="false">
      <c r="A12" s="12" t="s">
        <v>55</v>
      </c>
      <c r="B12" s="12" t="s">
        <v>70</v>
      </c>
      <c r="C12" s="13" t="s">
        <v>71</v>
      </c>
      <c r="D12" s="24" t="n">
        <v>800</v>
      </c>
      <c r="E12" s="25" t="n">
        <v>46308</v>
      </c>
      <c r="F12" s="26" t="n">
        <f aca="false">Weights!$B$3-E12</f>
        <v>2</v>
      </c>
      <c r="G12" s="12" t="n">
        <v>100</v>
      </c>
      <c r="H12" s="12" t="n">
        <v>4</v>
      </c>
      <c r="I12" s="12" t="s">
        <v>152</v>
      </c>
      <c r="J12" s="12" t="s">
        <v>163</v>
      </c>
      <c r="K12" s="27" t="s">
        <v>168</v>
      </c>
      <c r="L12" s="13" t="s">
        <v>169</v>
      </c>
    </row>
    <row r="13" customFormat="false" ht="23.85" hidden="false" customHeight="false" outlineLevel="0" collapsed="false">
      <c r="A13" s="12" t="s">
        <v>55</v>
      </c>
      <c r="B13" s="12" t="s">
        <v>72</v>
      </c>
      <c r="C13" s="13" t="s">
        <v>73</v>
      </c>
      <c r="D13" s="24" t="n">
        <v>600</v>
      </c>
      <c r="E13" s="25" t="n">
        <v>46310</v>
      </c>
      <c r="F13" s="26" t="n">
        <f aca="false">Weights!$B$3-E13</f>
        <v>0</v>
      </c>
      <c r="G13" s="12" t="n">
        <v>96</v>
      </c>
      <c r="H13" s="12" t="n">
        <v>5</v>
      </c>
      <c r="I13" s="12" t="s">
        <v>152</v>
      </c>
      <c r="J13" s="12" t="s">
        <v>152</v>
      </c>
      <c r="K13" s="27" t="s">
        <v>170</v>
      </c>
      <c r="L13" s="13" t="s">
        <v>171</v>
      </c>
    </row>
    <row r="14" customFormat="false" ht="23.85" hidden="false" customHeight="false" outlineLevel="0" collapsed="false">
      <c r="A14" s="12" t="s">
        <v>55</v>
      </c>
      <c r="B14" s="12" t="s">
        <v>74</v>
      </c>
      <c r="C14" s="13" t="s">
        <v>75</v>
      </c>
      <c r="D14" s="24" t="n">
        <v>500</v>
      </c>
      <c r="E14" s="25" t="n">
        <v>46309</v>
      </c>
      <c r="F14" s="26" t="n">
        <f aca="false">Weights!$B$3-E14</f>
        <v>1</v>
      </c>
      <c r="G14" s="12" t="n">
        <v>0</v>
      </c>
      <c r="H14" s="12" t="n">
        <v>0</v>
      </c>
      <c r="I14" s="12" t="s">
        <v>152</v>
      </c>
      <c r="J14" s="12" t="s">
        <v>163</v>
      </c>
      <c r="K14" s="27" t="s">
        <v>172</v>
      </c>
      <c r="L14" s="13" t="s">
        <v>173</v>
      </c>
    </row>
    <row r="15" customFormat="false" ht="23.85" hidden="false" customHeight="false" outlineLevel="0" collapsed="false">
      <c r="A15" s="12" t="s">
        <v>55</v>
      </c>
      <c r="B15" s="12" t="s">
        <v>76</v>
      </c>
      <c r="C15" s="13" t="s">
        <v>77</v>
      </c>
      <c r="D15" s="24" t="n">
        <v>300</v>
      </c>
      <c r="E15" s="25" t="n">
        <v>46304</v>
      </c>
      <c r="F15" s="26" t="n">
        <f aca="false">Weights!$B$3-E15</f>
        <v>6</v>
      </c>
      <c r="G15" s="12" t="n">
        <v>0</v>
      </c>
      <c r="H15" s="12" t="n">
        <v>0</v>
      </c>
      <c r="I15" s="12" t="s">
        <v>152</v>
      </c>
      <c r="J15" s="12" t="s">
        <v>152</v>
      </c>
      <c r="K15" s="27" t="s">
        <v>174</v>
      </c>
      <c r="L15" s="13" t="s">
        <v>175</v>
      </c>
    </row>
    <row r="16" customFormat="false" ht="23.85" hidden="false" customHeight="false" outlineLevel="0" collapsed="false">
      <c r="A16" s="12" t="s">
        <v>55</v>
      </c>
      <c r="B16" s="12" t="s">
        <v>78</v>
      </c>
      <c r="C16" s="13" t="s">
        <v>79</v>
      </c>
      <c r="D16" s="24" t="n">
        <v>300</v>
      </c>
      <c r="E16" s="25" t="n">
        <v>46295</v>
      </c>
      <c r="F16" s="26" t="n">
        <f aca="false">Weights!$B$3-E16</f>
        <v>15</v>
      </c>
      <c r="G16" s="12" t="n">
        <v>100</v>
      </c>
      <c r="H16" s="12" t="n">
        <v>2</v>
      </c>
      <c r="I16" s="12" t="s">
        <v>152</v>
      </c>
      <c r="J16" s="12" t="s">
        <v>152</v>
      </c>
      <c r="K16" s="27" t="s">
        <v>176</v>
      </c>
      <c r="L16" s="13" t="s">
        <v>177</v>
      </c>
    </row>
    <row r="17" customFormat="false" ht="23.85" hidden="false" customHeight="false" outlineLevel="0" collapsed="false">
      <c r="A17" s="12" t="s">
        <v>55</v>
      </c>
      <c r="B17" s="12" t="s">
        <v>80</v>
      </c>
      <c r="C17" s="13" t="s">
        <v>81</v>
      </c>
      <c r="D17" s="24" t="n">
        <v>200</v>
      </c>
      <c r="E17" s="25" t="n">
        <v>46296</v>
      </c>
      <c r="F17" s="26" t="n">
        <f aca="false">Weights!$B$3-E17</f>
        <v>14</v>
      </c>
      <c r="G17" s="12" t="n">
        <v>0</v>
      </c>
      <c r="H17" s="12" t="n">
        <v>0</v>
      </c>
      <c r="I17" s="12" t="s">
        <v>152</v>
      </c>
      <c r="J17" s="12" t="s">
        <v>163</v>
      </c>
      <c r="K17" s="27" t="s">
        <v>178</v>
      </c>
      <c r="L17" s="13" t="s">
        <v>179</v>
      </c>
    </row>
    <row r="18" customFormat="false" ht="23.85" hidden="false" customHeight="false" outlineLevel="0" collapsed="false">
      <c r="A18" s="12" t="s">
        <v>55</v>
      </c>
      <c r="B18" s="12" t="s">
        <v>82</v>
      </c>
      <c r="C18" s="13" t="s">
        <v>83</v>
      </c>
      <c r="D18" s="24" t="n">
        <v>100</v>
      </c>
      <c r="E18" s="25" t="n">
        <v>46310</v>
      </c>
      <c r="F18" s="26" t="n">
        <f aca="false">Weights!$B$3-E18</f>
        <v>0</v>
      </c>
      <c r="G18" s="12" t="n">
        <v>0</v>
      </c>
      <c r="H18" s="12" t="n">
        <v>0</v>
      </c>
      <c r="I18" s="12" t="s">
        <v>152</v>
      </c>
      <c r="J18" s="12" t="s">
        <v>163</v>
      </c>
      <c r="K18" s="27" t="s">
        <v>180</v>
      </c>
      <c r="L18" s="13" t="s">
        <v>181</v>
      </c>
    </row>
    <row r="19" customFormat="false" ht="23.85" hidden="false" customHeight="false" outlineLevel="0" collapsed="false">
      <c r="A19" s="12" t="s">
        <v>55</v>
      </c>
      <c r="B19" s="12" t="s">
        <v>84</v>
      </c>
      <c r="C19" s="13" t="s">
        <v>85</v>
      </c>
      <c r="D19" s="24" t="n">
        <v>100</v>
      </c>
      <c r="E19" s="25" t="n">
        <v>46305</v>
      </c>
      <c r="F19" s="26" t="n">
        <f aca="false">Weights!$B$3-E19</f>
        <v>5</v>
      </c>
      <c r="G19" s="12" t="n">
        <v>100</v>
      </c>
      <c r="H19" s="12" t="n">
        <v>7</v>
      </c>
      <c r="I19" s="12" t="s">
        <v>152</v>
      </c>
      <c r="J19" s="12" t="s">
        <v>163</v>
      </c>
      <c r="K19" s="27" t="s">
        <v>182</v>
      </c>
      <c r="L19" s="13" t="s">
        <v>183</v>
      </c>
    </row>
    <row r="20" customFormat="false" ht="23.85" hidden="false" customHeight="false" outlineLevel="0" collapsed="false">
      <c r="A20" s="12" t="s">
        <v>55</v>
      </c>
      <c r="B20" s="12" t="s">
        <v>86</v>
      </c>
      <c r="C20" s="13" t="s">
        <v>87</v>
      </c>
      <c r="D20" s="24" t="n">
        <v>100</v>
      </c>
      <c r="E20" s="25" t="n">
        <v>46222</v>
      </c>
      <c r="F20" s="26" t="n">
        <f aca="false">Weights!$B$3-E20</f>
        <v>88</v>
      </c>
      <c r="G20" s="12" t="n">
        <v>100</v>
      </c>
      <c r="H20" s="12" t="n">
        <v>1</v>
      </c>
      <c r="I20" s="12" t="s">
        <v>152</v>
      </c>
      <c r="J20" s="12" t="s">
        <v>152</v>
      </c>
      <c r="K20" s="27" t="s">
        <v>184</v>
      </c>
      <c r="L20" s="13" t="s">
        <v>185</v>
      </c>
    </row>
    <row r="21" customFormat="false" ht="23.85" hidden="false" customHeight="false" outlineLevel="0" collapsed="false">
      <c r="A21" s="12" t="s">
        <v>55</v>
      </c>
      <c r="B21" s="12" t="s">
        <v>88</v>
      </c>
      <c r="C21" s="13" t="s">
        <v>89</v>
      </c>
      <c r="D21" s="24" t="n">
        <v>5000</v>
      </c>
      <c r="E21" s="25" t="n">
        <v>46301</v>
      </c>
      <c r="F21" s="26" t="n">
        <f aca="false">Weights!$B$3-E21</f>
        <v>9</v>
      </c>
      <c r="G21" s="12" t="n">
        <v>100</v>
      </c>
      <c r="H21" s="12" t="n">
        <v>1</v>
      </c>
      <c r="I21" s="12" t="s">
        <v>152</v>
      </c>
      <c r="J21" s="12" t="s">
        <v>163</v>
      </c>
      <c r="K21" s="27" t="s">
        <v>186</v>
      </c>
      <c r="L21" s="13" t="s">
        <v>187</v>
      </c>
    </row>
    <row r="22" customFormat="false" ht="23.85" hidden="false" customHeight="false" outlineLevel="0" collapsed="false">
      <c r="A22" s="12" t="s">
        <v>55</v>
      </c>
      <c r="B22" s="12" t="s">
        <v>90</v>
      </c>
      <c r="C22" s="13" t="s">
        <v>91</v>
      </c>
      <c r="D22" s="24" t="n">
        <v>1000</v>
      </c>
      <c r="E22" s="25" t="n">
        <v>46274</v>
      </c>
      <c r="F22" s="26" t="n">
        <f aca="false">Weights!$B$3-E22</f>
        <v>36</v>
      </c>
      <c r="G22" s="12" t="n">
        <v>0</v>
      </c>
      <c r="H22" s="12" t="n">
        <v>0</v>
      </c>
      <c r="I22" s="12" t="s">
        <v>152</v>
      </c>
      <c r="J22" s="12" t="s">
        <v>163</v>
      </c>
      <c r="K22" s="27" t="s">
        <v>188</v>
      </c>
      <c r="L22" s="13" t="s">
        <v>189</v>
      </c>
    </row>
    <row r="23" customFormat="false" ht="23.85" hidden="false" customHeight="false" outlineLevel="0" collapsed="false">
      <c r="A23" s="12" t="s">
        <v>92</v>
      </c>
      <c r="B23" s="12" t="s">
        <v>93</v>
      </c>
      <c r="C23" s="13" t="s">
        <v>94</v>
      </c>
      <c r="D23" s="24" t="n">
        <v>30</v>
      </c>
      <c r="E23" s="25" t="n">
        <v>46290</v>
      </c>
      <c r="F23" s="26" t="n">
        <f aca="false">Weights!$B$3-E23</f>
        <v>20</v>
      </c>
      <c r="G23" s="12" t="n">
        <v>100</v>
      </c>
      <c r="H23" s="12" t="n">
        <v>3</v>
      </c>
      <c r="I23" s="12" t="s">
        <v>152</v>
      </c>
      <c r="J23" s="12" t="s">
        <v>152</v>
      </c>
      <c r="K23" s="27" t="s">
        <v>190</v>
      </c>
      <c r="L23" s="13" t="s">
        <v>191</v>
      </c>
    </row>
    <row r="24" customFormat="false" ht="23.85" hidden="false" customHeight="false" outlineLevel="0" collapsed="false">
      <c r="A24" s="12" t="s">
        <v>92</v>
      </c>
      <c r="B24" s="12" t="s">
        <v>95</v>
      </c>
      <c r="C24" s="13" t="s">
        <v>96</v>
      </c>
      <c r="D24" s="24" t="n">
        <v>40</v>
      </c>
      <c r="E24" s="25" t="n">
        <v>46303</v>
      </c>
      <c r="F24" s="26" t="n">
        <f aca="false">Weights!$B$3-E24</f>
        <v>7</v>
      </c>
      <c r="G24" s="12" t="n">
        <v>100</v>
      </c>
      <c r="H24" s="12" t="n">
        <v>1</v>
      </c>
      <c r="I24" s="12" t="s">
        <v>152</v>
      </c>
      <c r="J24" s="12" t="s">
        <v>152</v>
      </c>
      <c r="K24" s="27" t="s">
        <v>192</v>
      </c>
      <c r="L24" s="13" t="s">
        <v>193</v>
      </c>
    </row>
    <row r="25" customFormat="false" ht="23.85" hidden="false" customHeight="false" outlineLevel="0" collapsed="false">
      <c r="A25" s="12" t="s">
        <v>92</v>
      </c>
      <c r="B25" s="12" t="s">
        <v>97</v>
      </c>
      <c r="C25" s="13" t="s">
        <v>98</v>
      </c>
      <c r="D25" s="24" t="n">
        <v>70</v>
      </c>
      <c r="E25" s="25" t="n">
        <v>46296</v>
      </c>
      <c r="F25" s="26" t="n">
        <f aca="false">Weights!$B$3-E25</f>
        <v>14</v>
      </c>
      <c r="G25" s="12" t="n">
        <v>100</v>
      </c>
      <c r="H25" s="12" t="n">
        <v>1</v>
      </c>
      <c r="I25" s="12" t="s">
        <v>152</v>
      </c>
      <c r="J25" s="12" t="s">
        <v>163</v>
      </c>
      <c r="K25" s="27" t="s">
        <v>194</v>
      </c>
      <c r="L25" s="13" t="s">
        <v>195</v>
      </c>
    </row>
    <row r="26" customFormat="false" ht="23.85" hidden="false" customHeight="false" outlineLevel="0" collapsed="false">
      <c r="A26" s="12" t="s">
        <v>92</v>
      </c>
      <c r="B26" s="12" t="s">
        <v>99</v>
      </c>
      <c r="C26" s="13" t="s">
        <v>100</v>
      </c>
      <c r="D26" s="24" t="n">
        <v>40</v>
      </c>
      <c r="E26" s="25" t="n">
        <v>46291</v>
      </c>
      <c r="F26" s="26" t="n">
        <f aca="false">Weights!$B$3-E26</f>
        <v>19</v>
      </c>
      <c r="G26" s="12" t="n">
        <v>0</v>
      </c>
      <c r="H26" s="12" t="n">
        <v>0</v>
      </c>
      <c r="I26" s="12" t="s">
        <v>152</v>
      </c>
      <c r="J26" s="12" t="s">
        <v>152</v>
      </c>
      <c r="K26" s="27" t="s">
        <v>196</v>
      </c>
      <c r="L26" s="13" t="s">
        <v>197</v>
      </c>
    </row>
    <row r="27" customFormat="false" ht="23.85" hidden="false" customHeight="false" outlineLevel="0" collapsed="false">
      <c r="A27" s="12" t="s">
        <v>92</v>
      </c>
      <c r="B27" s="12" t="s">
        <v>101</v>
      </c>
      <c r="C27" s="13" t="s">
        <v>102</v>
      </c>
      <c r="D27" s="24" t="n">
        <v>30</v>
      </c>
      <c r="E27" s="25" t="n">
        <v>46307</v>
      </c>
      <c r="F27" s="26" t="n">
        <f aca="false">Weights!$B$3-E27</f>
        <v>3</v>
      </c>
      <c r="G27" s="12" t="n">
        <v>0</v>
      </c>
      <c r="H27" s="12" t="n">
        <v>0</v>
      </c>
      <c r="I27" s="12" t="s">
        <v>152</v>
      </c>
      <c r="J27" s="12" t="s">
        <v>163</v>
      </c>
      <c r="K27" s="27" t="s">
        <v>198</v>
      </c>
      <c r="L27" s="13" t="s">
        <v>199</v>
      </c>
    </row>
    <row r="28" customFormat="false" ht="23.85" hidden="false" customHeight="false" outlineLevel="0" collapsed="false">
      <c r="A28" s="12" t="s">
        <v>92</v>
      </c>
      <c r="B28" s="12" t="s">
        <v>103</v>
      </c>
      <c r="C28" s="13" t="s">
        <v>104</v>
      </c>
      <c r="D28" s="24" t="n">
        <v>0</v>
      </c>
      <c r="E28" s="25" t="n">
        <v>46306</v>
      </c>
      <c r="F28" s="26" t="n">
        <f aca="false">Weights!$B$3-E28</f>
        <v>4</v>
      </c>
      <c r="G28" s="12" t="n">
        <v>0</v>
      </c>
      <c r="H28" s="12" t="n">
        <v>0</v>
      </c>
      <c r="I28" s="12" t="s">
        <v>152</v>
      </c>
      <c r="J28" s="12" t="s">
        <v>152</v>
      </c>
      <c r="K28" s="27" t="s">
        <v>200</v>
      </c>
      <c r="L28" s="13" t="s">
        <v>201</v>
      </c>
    </row>
    <row r="29" customFormat="false" ht="23.85" hidden="false" customHeight="false" outlineLevel="0" collapsed="false">
      <c r="A29" s="12" t="s">
        <v>92</v>
      </c>
      <c r="B29" s="12" t="s">
        <v>105</v>
      </c>
      <c r="C29" s="13" t="s">
        <v>106</v>
      </c>
      <c r="D29" s="24" t="n">
        <v>0</v>
      </c>
      <c r="E29" s="25" t="n">
        <v>46306</v>
      </c>
      <c r="F29" s="26" t="n">
        <f aca="false">Weights!$B$3-E29</f>
        <v>4</v>
      </c>
      <c r="G29" s="12" t="n">
        <v>0</v>
      </c>
      <c r="H29" s="12" t="n">
        <v>0</v>
      </c>
      <c r="I29" s="12" t="s">
        <v>152</v>
      </c>
      <c r="J29" s="12" t="s">
        <v>152</v>
      </c>
      <c r="K29" s="27" t="s">
        <v>202</v>
      </c>
      <c r="L29" s="13" t="s">
        <v>203</v>
      </c>
    </row>
    <row r="30" customFormat="false" ht="23.85" hidden="false" customHeight="false" outlineLevel="0" collapsed="false">
      <c r="A30" s="12" t="s">
        <v>92</v>
      </c>
      <c r="B30" s="12" t="s">
        <v>107</v>
      </c>
      <c r="C30" s="13" t="s">
        <v>108</v>
      </c>
      <c r="D30" s="24" t="n">
        <v>0</v>
      </c>
      <c r="E30" s="25" t="n">
        <v>46309</v>
      </c>
      <c r="F30" s="26" t="n">
        <f aca="false">Weights!$B$3-E30</f>
        <v>1</v>
      </c>
      <c r="G30" s="12" t="n">
        <v>100</v>
      </c>
      <c r="H30" s="12" t="n">
        <v>1</v>
      </c>
      <c r="I30" s="12" t="s">
        <v>152</v>
      </c>
      <c r="J30" s="12" t="s">
        <v>163</v>
      </c>
      <c r="K30" s="27" t="s">
        <v>204</v>
      </c>
      <c r="L30" s="13" t="s">
        <v>205</v>
      </c>
    </row>
    <row r="31" customFormat="false" ht="23.85" hidden="false" customHeight="false" outlineLevel="0" collapsed="false">
      <c r="A31" s="12" t="s">
        <v>92</v>
      </c>
      <c r="B31" s="12" t="s">
        <v>109</v>
      </c>
      <c r="C31" s="13" t="s">
        <v>110</v>
      </c>
      <c r="D31" s="24" t="n">
        <v>80</v>
      </c>
      <c r="E31" s="25" t="n">
        <v>46286</v>
      </c>
      <c r="F31" s="26" t="n">
        <f aca="false">Weights!$B$3-E31</f>
        <v>24</v>
      </c>
      <c r="G31" s="12" t="n">
        <v>100</v>
      </c>
      <c r="H31" s="12" t="n">
        <v>1</v>
      </c>
      <c r="I31" s="12" t="s">
        <v>163</v>
      </c>
      <c r="J31" s="12" t="s">
        <v>163</v>
      </c>
      <c r="K31" s="27" t="s">
        <v>206</v>
      </c>
      <c r="L31" s="13" t="s">
        <v>207</v>
      </c>
    </row>
    <row r="32" customFormat="false" ht="23.85" hidden="false" customHeight="false" outlineLevel="0" collapsed="false">
      <c r="A32" s="12" t="s">
        <v>92</v>
      </c>
      <c r="B32" s="12" t="s">
        <v>111</v>
      </c>
      <c r="C32" s="13" t="s">
        <v>112</v>
      </c>
      <c r="D32" s="24" t="n">
        <v>30</v>
      </c>
      <c r="E32" s="25" t="n">
        <v>46267</v>
      </c>
      <c r="F32" s="26" t="n">
        <f aca="false">Weights!$B$3-E32</f>
        <v>43</v>
      </c>
      <c r="G32" s="12" t="n">
        <v>0</v>
      </c>
      <c r="H32" s="12" t="n">
        <v>0</v>
      </c>
      <c r="I32" s="12" t="s">
        <v>152</v>
      </c>
      <c r="J32" s="12" t="s">
        <v>163</v>
      </c>
      <c r="K32" s="27" t="s">
        <v>208</v>
      </c>
      <c r="L32" s="13" t="s">
        <v>209</v>
      </c>
    </row>
    <row r="33" customFormat="false" ht="23.85" hidden="false" customHeight="false" outlineLevel="0" collapsed="false">
      <c r="A33" s="12" t="s">
        <v>92</v>
      </c>
      <c r="B33" s="12" t="s">
        <v>113</v>
      </c>
      <c r="C33" s="13" t="s">
        <v>114</v>
      </c>
      <c r="D33" s="24" t="n">
        <v>30</v>
      </c>
      <c r="E33" s="25" t="n">
        <v>46289</v>
      </c>
      <c r="F33" s="26" t="n">
        <f aca="false">Weights!$B$3-E33</f>
        <v>21</v>
      </c>
      <c r="G33" s="12" t="n">
        <v>0</v>
      </c>
      <c r="H33" s="12" t="n">
        <v>0</v>
      </c>
      <c r="I33" s="12" t="s">
        <v>152</v>
      </c>
      <c r="J33" s="12" t="s">
        <v>163</v>
      </c>
      <c r="K33" s="27" t="s">
        <v>210</v>
      </c>
      <c r="L33" s="13" t="s">
        <v>211</v>
      </c>
    </row>
    <row r="34" customFormat="false" ht="23.85" hidden="false" customHeight="false" outlineLevel="0" collapsed="false">
      <c r="A34" s="12" t="s">
        <v>92</v>
      </c>
      <c r="B34" s="12" t="s">
        <v>115</v>
      </c>
      <c r="C34" s="13" t="s">
        <v>116</v>
      </c>
      <c r="D34" s="24" t="n">
        <v>30</v>
      </c>
      <c r="E34" s="25" t="n">
        <v>46307</v>
      </c>
      <c r="F34" s="26" t="n">
        <f aca="false">Weights!$B$3-E34</f>
        <v>3</v>
      </c>
      <c r="G34" s="12" t="n">
        <v>0</v>
      </c>
      <c r="H34" s="12" t="n">
        <v>0</v>
      </c>
      <c r="I34" s="12" t="s">
        <v>152</v>
      </c>
      <c r="J34" s="12" t="s">
        <v>163</v>
      </c>
      <c r="K34" s="27" t="s">
        <v>212</v>
      </c>
      <c r="L34" s="13" t="s">
        <v>213</v>
      </c>
    </row>
    <row r="35" customFormat="false" ht="23.85" hidden="false" customHeight="false" outlineLevel="0" collapsed="false">
      <c r="A35" s="12" t="s">
        <v>92</v>
      </c>
      <c r="B35" s="12" t="s">
        <v>117</v>
      </c>
      <c r="C35" s="13" t="s">
        <v>118</v>
      </c>
      <c r="D35" s="24" t="n">
        <v>0</v>
      </c>
      <c r="E35" s="25" t="n">
        <v>46303</v>
      </c>
      <c r="F35" s="26" t="n">
        <f aca="false">Weights!$B$3-E35</f>
        <v>7</v>
      </c>
      <c r="G35" s="12" t="n">
        <v>0</v>
      </c>
      <c r="H35" s="12" t="n">
        <v>0</v>
      </c>
      <c r="I35" s="12" t="s">
        <v>152</v>
      </c>
      <c r="J35" s="12" t="s">
        <v>152</v>
      </c>
      <c r="K35" s="27" t="s">
        <v>214</v>
      </c>
      <c r="L35" s="13" t="s">
        <v>215</v>
      </c>
    </row>
    <row r="36" customFormat="false" ht="23.85" hidden="false" customHeight="false" outlineLevel="0" collapsed="false">
      <c r="A36" s="12" t="s">
        <v>92</v>
      </c>
      <c r="B36" s="12" t="s">
        <v>119</v>
      </c>
      <c r="C36" s="13" t="s">
        <v>120</v>
      </c>
      <c r="D36" s="24" t="n">
        <v>60</v>
      </c>
      <c r="E36" s="25" t="n">
        <v>46308</v>
      </c>
      <c r="F36" s="26" t="n">
        <f aca="false">Weights!$B$3-E36</f>
        <v>2</v>
      </c>
      <c r="G36" s="12" t="n">
        <v>100</v>
      </c>
      <c r="H36" s="12" t="n">
        <v>1</v>
      </c>
      <c r="I36" s="12" t="s">
        <v>152</v>
      </c>
      <c r="J36" s="12" t="s">
        <v>163</v>
      </c>
      <c r="K36" s="27" t="s">
        <v>216</v>
      </c>
      <c r="L36" s="13" t="s">
        <v>217</v>
      </c>
    </row>
    <row r="37" customFormat="false" ht="23.85" hidden="false" customHeight="false" outlineLevel="0" collapsed="false">
      <c r="A37" s="12" t="s">
        <v>92</v>
      </c>
      <c r="B37" s="12" t="s">
        <v>121</v>
      </c>
      <c r="C37" s="13" t="s">
        <v>122</v>
      </c>
      <c r="D37" s="24" t="n">
        <v>0</v>
      </c>
      <c r="E37" s="25" t="n">
        <v>46301</v>
      </c>
      <c r="F37" s="26" t="n">
        <f aca="false">Weights!$B$3-E37</f>
        <v>9</v>
      </c>
      <c r="G37" s="12" t="n">
        <v>0</v>
      </c>
      <c r="H37" s="12" t="n">
        <v>0</v>
      </c>
      <c r="I37" s="12" t="s">
        <v>152</v>
      </c>
      <c r="J37" s="12" t="s">
        <v>152</v>
      </c>
      <c r="K37" s="27" t="s">
        <v>218</v>
      </c>
      <c r="L37" s="13" t="s">
        <v>219</v>
      </c>
    </row>
    <row r="38" customFormat="false" ht="23.85" hidden="false" customHeight="false" outlineLevel="0" collapsed="false">
      <c r="A38" s="12" t="s">
        <v>92</v>
      </c>
      <c r="B38" s="12" t="s">
        <v>123</v>
      </c>
      <c r="C38" s="13" t="s">
        <v>124</v>
      </c>
      <c r="D38" s="24" t="n">
        <v>60</v>
      </c>
      <c r="E38" s="25" t="n">
        <v>46302</v>
      </c>
      <c r="F38" s="26" t="n">
        <f aca="false">Weights!$B$3-E38</f>
        <v>8</v>
      </c>
      <c r="G38" s="12" t="n">
        <v>0</v>
      </c>
      <c r="H38" s="12" t="n">
        <v>0</v>
      </c>
      <c r="I38" s="12" t="s">
        <v>152</v>
      </c>
      <c r="J38" s="12" t="s">
        <v>163</v>
      </c>
      <c r="K38" s="27" t="s">
        <v>220</v>
      </c>
      <c r="L38" s="13" t="s">
        <v>221</v>
      </c>
    </row>
    <row r="39" customFormat="false" ht="23.85" hidden="false" customHeight="false" outlineLevel="0" collapsed="false">
      <c r="A39" s="12" t="s">
        <v>92</v>
      </c>
      <c r="B39" s="12" t="s">
        <v>125</v>
      </c>
      <c r="C39" s="13" t="s">
        <v>126</v>
      </c>
      <c r="D39" s="24" t="n">
        <v>20</v>
      </c>
      <c r="E39" s="25" t="n">
        <v>46308</v>
      </c>
      <c r="F39" s="26" t="n">
        <f aca="false">Weights!$B$3-E39</f>
        <v>2</v>
      </c>
      <c r="G39" s="12" t="n">
        <v>0</v>
      </c>
      <c r="H39" s="12" t="n">
        <v>0</v>
      </c>
      <c r="I39" s="12" t="s">
        <v>152</v>
      </c>
      <c r="J39" s="12" t="s">
        <v>163</v>
      </c>
      <c r="K39" s="27" t="s">
        <v>222</v>
      </c>
      <c r="L39" s="13" t="s">
        <v>223</v>
      </c>
    </row>
    <row r="40" customFormat="false" ht="23.85" hidden="false" customHeight="false" outlineLevel="0" collapsed="false">
      <c r="A40" s="12" t="s">
        <v>92</v>
      </c>
      <c r="B40" s="12" t="s">
        <v>127</v>
      </c>
      <c r="C40" s="13" t="s">
        <v>128</v>
      </c>
      <c r="D40" s="24" t="n">
        <v>20</v>
      </c>
      <c r="E40" s="25" t="n">
        <v>46279</v>
      </c>
      <c r="F40" s="26" t="n">
        <f aca="false">Weights!$B$3-E40</f>
        <v>31</v>
      </c>
      <c r="G40" s="12" t="n">
        <v>0</v>
      </c>
      <c r="H40" s="12" t="n">
        <v>0</v>
      </c>
      <c r="I40" s="12" t="s">
        <v>152</v>
      </c>
      <c r="J40" s="12" t="s">
        <v>163</v>
      </c>
      <c r="K40" s="27" t="s">
        <v>224</v>
      </c>
      <c r="L40" s="13" t="s">
        <v>225</v>
      </c>
    </row>
    <row r="41" customFormat="false" ht="15" hidden="false" customHeight="false" outlineLevel="0" collapsed="false">
      <c r="A41" s="12" t="s">
        <v>226</v>
      </c>
      <c r="B41" s="12" t="s">
        <v>227</v>
      </c>
      <c r="C41" s="13" t="s">
        <v>228</v>
      </c>
      <c r="D41" s="24" t="n">
        <v>40000</v>
      </c>
      <c r="E41" s="25" t="n">
        <v>46297</v>
      </c>
      <c r="F41" s="26" t="n">
        <f aca="false">Weights!$B$3-E41</f>
        <v>13</v>
      </c>
      <c r="G41" s="12" t="n">
        <v>0</v>
      </c>
      <c r="H41" s="12" t="n">
        <v>0</v>
      </c>
      <c r="I41" s="12" t="s">
        <v>152</v>
      </c>
      <c r="J41" s="12" t="s">
        <v>152</v>
      </c>
      <c r="K41" s="27" t="s">
        <v>229</v>
      </c>
      <c r="L41" s="13" t="s">
        <v>230</v>
      </c>
    </row>
  </sheetData>
  <hyperlinks>
    <hyperlink ref="K5" r:id="rId1" display="https://wordpress.org/plugins/ai-engine/"/>
    <hyperlink ref="K6" r:id="rId2" display="https://wordpress.org/plugins/vibe-ai/"/>
    <hyperlink ref="K7" r:id="rId3" display="https://wordpress.org/plugins/easy-mcp-ai/"/>
    <hyperlink ref="K8" r:id="rId4" display="https://wordpress.org/plugins/royal-mcp/"/>
    <hyperlink ref="K9" r:id="rId5" display="https://wordpress.org/plugins/miniorange-secure-mcp-server/"/>
    <hyperlink ref="K10" r:id="rId6" display="https://wordpress.org/plugins/wsp-mcp-ai-agents-connector/"/>
    <hyperlink ref="K11" r:id="rId7" display="https://wordpress.org/plugins/cowboy-mcp/"/>
    <hyperlink ref="K12" r:id="rId8" display="https://wordpress.org/plugins/stifli-flex-mcp/"/>
    <hyperlink ref="K13" r:id="rId9" display="https://wordpress.org/plugins/agent-abilities-for-mcp/"/>
    <hyperlink ref="K14" r:id="rId10" display="https://wordpress.org/plugins/diviops-agent/"/>
    <hyperlink ref="K15" r:id="rId11" display="https://wordpress.org/plugins/ai-workflow-automation-ai-agent-hub/"/>
    <hyperlink ref="K16" r:id="rId12" display="https://wordpress.org/plugins/nibwp/"/>
    <hyperlink ref="K17" r:id="rId13" display="https://wordpress.org/plugins/mountdev-ai-mcp-connector/"/>
    <hyperlink ref="K18" r:id="rId14" display="https://wordpress.org/plugins/iato-mcp/"/>
    <hyperlink ref="K19" r:id="rId15" display="https://wordpress.org/plugins/siteskite/"/>
    <hyperlink ref="K20" r:id="rId16" display="https://wordpress.org/plugins/invizo-mcp/"/>
    <hyperlink ref="K21" r:id="rId17" display="https://wordpress.org/plugins/ylabs-connector-for-wpwriter/"/>
    <hyperlink ref="K22" r:id="rId18" display="https://wordpress.org/plugins/ylabs-ai-assistant-connector/"/>
    <hyperlink ref="K23" r:id="rId19" display="https://wordpress.org/plugins/albert-ai-butler/"/>
    <hyperlink ref="K24" r:id="rId20" display="https://wordpress.org/plugins/acrossai-mcp-manager/"/>
    <hyperlink ref="K25" r:id="rId21" display="https://wordpress.org/plugins/sokket-site-connector-for-mcp/"/>
    <hyperlink ref="K26" r:id="rId22" display="https://wordpress.org/plugins/webo-mcp/"/>
    <hyperlink ref="K27" r:id="rId23" display="https://wordpress.org/plugins/alphabridge-mcp/"/>
    <hyperlink ref="K28" r:id="rId24" display="https://wordpress.org/plugins/track-debug/"/>
    <hyperlink ref="K29" r:id="rId25" display="https://wordpress.org/plugins/admindra-mcp/"/>
    <hyperlink ref="K30" r:id="rId26" display="https://wordpress.org/plugins/devcubic-ai-bridge-for-mcp/"/>
    <hyperlink ref="K31" r:id="rId27" display="https://wordpress.org/plugins/abilities-bridge/"/>
    <hyperlink ref="K32" r:id="rId28" display="https://wordpress.org/plugins/strifebridge-mcp/"/>
    <hyperlink ref="K33" r:id="rId29" display="https://wordpress.org/plugins/bcs-mcp-manager/"/>
    <hyperlink ref="K34" r:id="rId30" display="https://wordpress.org/plugins/saddle/"/>
    <hyperlink ref="K35" r:id="rId31" display="https://wordpress.org/plugins/acadium-agent-publisher/"/>
    <hyperlink ref="K36" r:id="rId32" display="https://wordpress.org/plugins/aicom/"/>
    <hyperlink ref="K37" r:id="rId33" display="https://wordpress.org/plugins/rectus-content-access-for-mcp/"/>
    <hyperlink ref="K38" r:id="rId34" display="https://wordpress.org/plugins/mcp-for-woocommerce/"/>
    <hyperlink ref="K39" r:id="rId35" display="https://wordpress.org/plugins/counterhand-mcp-for-woocommerce/"/>
    <hyperlink ref="K40" r:id="rId36" display="https://wordpress.org/plugins/publishio/"/>
    <hyperlink ref="K41" r:id="rId37" display="https://wordpress.org/plugins/mcp-adapte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231</v>
      </c>
    </row>
    <row r="3" customFormat="false" ht="15" hidden="false" customHeight="false" outlineLevel="0" collapsed="false">
      <c r="A3" s="28" t="s">
        <v>232</v>
      </c>
      <c r="B3" s="29" t="n">
        <v>46310</v>
      </c>
      <c r="C3" s="4" t="s">
        <v>233</v>
      </c>
    </row>
    <row r="4" customFormat="false" ht="15" hidden="false" customHeight="false" outlineLevel="0" collapsed="false">
      <c r="A4" s="28"/>
      <c r="B4" s="28"/>
      <c r="C4" s="28"/>
    </row>
    <row r="5" customFormat="false" ht="15" hidden="false" customHeight="false" outlineLevel="0" collapsed="false">
      <c r="A5" s="9" t="s">
        <v>234</v>
      </c>
      <c r="B5" s="9" t="s">
        <v>235</v>
      </c>
      <c r="C5" s="28"/>
    </row>
    <row r="6" customFormat="false" ht="15" hidden="false" customHeight="false" outlineLevel="0" collapsed="false">
      <c r="A6" s="28" t="s">
        <v>22</v>
      </c>
      <c r="B6" s="30" t="n">
        <v>30</v>
      </c>
      <c r="C6" s="28"/>
    </row>
    <row r="7" customFormat="false" ht="15" hidden="false" customHeight="false" outlineLevel="0" collapsed="false">
      <c r="A7" s="28" t="s">
        <v>23</v>
      </c>
      <c r="B7" s="30" t="n">
        <v>30</v>
      </c>
      <c r="C7" s="28"/>
    </row>
    <row r="8" customFormat="false" ht="15" hidden="false" customHeight="false" outlineLevel="0" collapsed="false">
      <c r="A8" s="28" t="s">
        <v>24</v>
      </c>
      <c r="B8" s="30" t="n">
        <v>25</v>
      </c>
      <c r="C8" s="28"/>
    </row>
    <row r="9" customFormat="false" ht="15" hidden="false" customHeight="false" outlineLevel="0" collapsed="false">
      <c r="A9" s="28" t="s">
        <v>25</v>
      </c>
      <c r="B9" s="30" t="n">
        <v>15</v>
      </c>
      <c r="C9" s="28"/>
    </row>
    <row r="10" customFormat="false" ht="15" hidden="false" customHeight="false" outlineLevel="0" collapsed="false">
      <c r="A10" s="31" t="s">
        <v>236</v>
      </c>
      <c r="B10" s="31" t="n">
        <f aca="false">SUM(B6:B9)</f>
        <v>100</v>
      </c>
      <c r="C10" s="28" t="str">
        <f aca="false">IF(B10=100,"OK","Weights must total 100")</f>
        <v>OK</v>
      </c>
    </row>
    <row r="11" customFormat="false" ht="15" hidden="false" customHeight="false" outlineLevel="0" collapsed="false">
      <c r="A11" s="28"/>
      <c r="B11" s="28"/>
      <c r="C11" s="28"/>
    </row>
    <row r="12" customFormat="false" ht="15" hidden="false" customHeight="false" outlineLevel="0" collapsed="false">
      <c r="A12" s="31" t="s">
        <v>237</v>
      </c>
      <c r="B12" s="28"/>
      <c r="C12" s="28"/>
    </row>
    <row r="13" customFormat="false" ht="15" hidden="false" customHeight="false" outlineLevel="0" collapsed="false">
      <c r="A13" s="28" t="s">
        <v>238</v>
      </c>
      <c r="B13" s="30" t="n">
        <v>40</v>
      </c>
      <c r="C13" s="4" t="s">
        <v>239</v>
      </c>
    </row>
    <row r="14" customFormat="false" ht="15" hidden="false" customHeight="false" outlineLevel="0" collapsed="false">
      <c r="A14" s="28"/>
      <c r="B14" s="28"/>
      <c r="C14" s="28"/>
    </row>
    <row r="15" customFormat="false" ht="15" hidden="false" customHeight="false" outlineLevel="0" collapsed="false">
      <c r="A15" s="31" t="s">
        <v>240</v>
      </c>
      <c r="B15" s="28"/>
      <c r="C15" s="28"/>
    </row>
    <row r="16" customFormat="false" ht="15" hidden="false" customHeight="false" outlineLevel="0" collapsed="false">
      <c r="A16" s="28" t="s">
        <v>241</v>
      </c>
      <c r="B16" s="30" t="n">
        <v>30</v>
      </c>
      <c r="C16" s="28"/>
    </row>
    <row r="17" customFormat="false" ht="15" hidden="false" customHeight="false" outlineLevel="0" collapsed="false">
      <c r="A17" s="28" t="s">
        <v>242</v>
      </c>
      <c r="B17" s="30" t="n">
        <v>90</v>
      </c>
      <c r="C17" s="28"/>
    </row>
    <row r="18" customFormat="false" ht="15" hidden="false" customHeight="false" outlineLevel="0" collapsed="false">
      <c r="A18" s="28" t="s">
        <v>243</v>
      </c>
      <c r="B18" s="30" t="n">
        <v>180</v>
      </c>
      <c r="C18" s="28"/>
    </row>
    <row r="19" customFormat="false" ht="15" hidden="false" customHeight="false" outlineLevel="0" collapsed="false">
      <c r="A19" s="28" t="s">
        <v>244</v>
      </c>
      <c r="B19" s="30" t="n">
        <v>365</v>
      </c>
      <c r="C19" s="28"/>
    </row>
    <row r="20" customFormat="false" ht="15" hidden="false" customHeight="false" outlineLevel="0" collapsed="false">
      <c r="A20" s="28"/>
      <c r="B20" s="28"/>
      <c r="C20" s="28"/>
    </row>
    <row r="21" customFormat="false" ht="15" hidden="false" customHeight="false" outlineLevel="0" collapsed="false">
      <c r="A21" s="31" t="s">
        <v>245</v>
      </c>
      <c r="B21" s="28"/>
      <c r="C21" s="28"/>
    </row>
    <row r="22" customFormat="false" ht="15" hidden="false" customHeight="false" outlineLevel="0" collapsed="false">
      <c r="A22" s="28" t="s">
        <v>246</v>
      </c>
      <c r="B22" s="32" t="n">
        <v>10000</v>
      </c>
      <c r="C22" s="28"/>
    </row>
    <row r="23" customFormat="false" ht="15" hidden="false" customHeight="false" outlineLevel="0" collapsed="false">
      <c r="A23" s="28" t="s">
        <v>247</v>
      </c>
      <c r="B23" s="32" t="n">
        <v>1000</v>
      </c>
      <c r="C23" s="28"/>
    </row>
    <row r="24" customFormat="false" ht="15" hidden="false" customHeight="false" outlineLevel="0" collapsed="false">
      <c r="A24" s="28" t="s">
        <v>248</v>
      </c>
      <c r="B24" s="32" t="n">
        <v>100</v>
      </c>
      <c r="C24" s="28"/>
    </row>
    <row r="25" customFormat="false" ht="15" hidden="false" customHeight="false" outlineLevel="0" collapsed="false">
      <c r="A25" s="28" t="s">
        <v>249</v>
      </c>
      <c r="B25" s="32" t="n">
        <v>10</v>
      </c>
      <c r="C25" s="28"/>
    </row>
    <row r="27" customFormat="false" ht="15" hidden="false" customHeight="false" outlineLevel="0" collapsed="false">
      <c r="A27" s="4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2026-10-15T14:50:51Z</dcterms:created>
  <dc:creator>openpyxl</dc:creator>
  <dc:description/>
  <dc:language>en-ZA</dc:language>
  <cp:lastModifiedBy/>
  <dcterms:modified xsi:type="dcterms:W3CDTF">2026-10-15T14:50:51Z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